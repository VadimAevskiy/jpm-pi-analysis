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isk Formulas" sheetId="1" state="visible" r:id="rId1"/>
    <sheet xmlns:r="http://schemas.openxmlformats.org/officeDocument/2006/relationships" name="PI Fund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8"/>
    </font>
    <font>
      <name val="Arial"/>
      <b val="1"/>
      <sz val="8"/>
    </font>
    <font>
      <name val="Arial"/>
      <b val="1"/>
      <color rgb="001B2A4A"/>
      <sz val="10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b val="1"/>
      <color rgb="002F5496"/>
      <sz val="8"/>
    </font>
    <font>
      <name val="Arial"/>
      <color rgb="00888888"/>
      <sz val="7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AEE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3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2" fillId="3" borderId="1" pivotButton="0" quotePrefix="0" xfId="0"/>
    <xf numFmtId="9" fontId="3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9" fontId="3" fillId="4" borderId="1" pivotButton="0" quotePrefix="0" xfId="0"/>
    <xf numFmtId="0" fontId="6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12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42" customWidth="1" min="5" max="5"/>
    <col width="14" customWidth="1" min="6" max="6"/>
    <col width="36" customWidth="1" min="7" max="7"/>
    <col width="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B1" s="1" t="inlineStr">
        <is>
          <t>Parameters</t>
        </is>
      </c>
    </row>
    <row r="2">
      <c r="B2" s="2" t="inlineStr">
        <is>
          <t>Portfolio Currency</t>
        </is>
      </c>
      <c r="C2" s="3" t="inlineStr">
        <is>
          <t>USD</t>
        </is>
      </c>
    </row>
    <row r="3">
      <c r="B3" s="2" t="inlineStr">
        <is>
          <t>Risk Horizon</t>
        </is>
      </c>
      <c r="C3" s="3" t="inlineStr">
        <is>
          <t>252d</t>
        </is>
      </c>
    </row>
    <row r="4">
      <c r="B4" s="2" t="inlineStr">
        <is>
          <t>Confidence Interval</t>
        </is>
      </c>
      <c r="C4" s="3" t="n">
        <v>0.95</v>
      </c>
    </row>
    <row r="5">
      <c r="B5" s="2" t="inlineStr">
        <is>
          <t>Stress: 2008 GFC</t>
        </is>
      </c>
      <c r="C5" s="3" t="n">
        <v>3021</v>
      </c>
    </row>
    <row r="6">
      <c r="B6" s="2" t="inlineStr">
        <is>
          <t>Stress: USD +100bps</t>
        </is>
      </c>
      <c r="C6" s="3" t="n">
        <v>21148</v>
      </c>
    </row>
    <row r="8">
      <c r="E8" s="4" t="inlineStr">
        <is>
          <t>PTF 1: KKR North America XIV</t>
        </is>
      </c>
      <c r="L8" s="5" t="inlineStr">
        <is>
          <t>Burgiss: Core PE / Large Cap</t>
        </is>
      </c>
    </row>
    <row r="9">
      <c r="E9" s="6" t="inlineStr">
        <is>
          <t>name</t>
        </is>
      </c>
      <c r="F9" s="6" t="inlineStr">
        <is>
          <t>JPM ID</t>
        </is>
      </c>
      <c r="G9" s="6" t="inlineStr">
        <is>
          <t>EL ID</t>
        </is>
      </c>
      <c r="H9" s="6" t="inlineStr">
        <is>
          <t>Weight</t>
        </is>
      </c>
      <c r="I9" s="6" t="inlineStr">
        <is>
          <t>Vol Pos</t>
        </is>
      </c>
      <c r="J9" s="6" t="inlineStr">
        <is>
          <t>Vol Contrib</t>
        </is>
      </c>
      <c r="K9" s="6" t="inlineStr">
        <is>
          <t>Vol Ptf</t>
        </is>
      </c>
      <c r="L9" s="6" t="inlineStr">
        <is>
          <t>ES Pos</t>
        </is>
      </c>
      <c r="M9" s="6" t="inlineStr">
        <is>
          <t>ES Contrib</t>
        </is>
      </c>
      <c r="N9" s="6" t="inlineStr">
        <is>
          <t>ES Ptf</t>
        </is>
      </c>
      <c r="O9" s="6" t="inlineStr">
        <is>
          <t>VaR Pos</t>
        </is>
      </c>
      <c r="P9" s="6" t="inlineStr">
        <is>
          <t>VaR Contrib</t>
        </is>
      </c>
      <c r="Q9" s="6" t="inlineStr">
        <is>
          <t>VaR Ptf</t>
        </is>
      </c>
      <c r="R9" s="6" t="inlineStr">
        <is>
          <t>GFC Pos</t>
        </is>
      </c>
      <c r="S9" s="6" t="inlineStr">
        <is>
          <t>GFC Ptf</t>
        </is>
      </c>
      <c r="T9" s="6" t="inlineStr">
        <is>
          <t>+100bp Pos</t>
        </is>
      </c>
      <c r="U9" s="6" t="inlineStr">
        <is>
          <t>+100bp Ptf</t>
        </is>
      </c>
    </row>
    <row r="10">
      <c r="E10" s="7" t="inlineStr">
        <is>
          <t>Microsoft Corp</t>
        </is>
      </c>
      <c r="F10" s="7" t="inlineStr">
        <is>
          <t>US5949181045</t>
        </is>
      </c>
      <c r="G10" s="7" t="inlineStr">
        <is>
          <t>US5949181045</t>
        </is>
      </c>
      <c r="H10" s="8" t="n">
        <v>0.1</v>
      </c>
      <c r="I10" s="9">
        <f t="array" ref="I10:I17">_xldudf_ELRISKMEASURE("volatility","positions",$G$10:$G$17,$H$10:$H$17,"weight","USD",252,0.95)</f>
        <v/>
      </c>
      <c r="J10" s="9">
        <f t="array" ref="J10:J17">_xldudf_ELRISKMEASURE("volatility","contributions",$G$10:$G$17,$H$10:$H$17,"weight","USD",252,0.95)</f>
        <v/>
      </c>
      <c r="K10" s="9">
        <f t="array" ref="K10:K17">_xldudf_ELRISKMEASURE("volatility","portfolio",$G$10:$G$17,$H$10:$H$17,"weight","USD",252,0.95)</f>
        <v/>
      </c>
      <c r="L10" s="9">
        <f t="array" ref="L10:L17">_xldudf_ELRISKMEASURE("es","positions",$G$10:$G$17,$H$10:$H$17,"weight","USD",252,0.95)</f>
        <v/>
      </c>
      <c r="M10" s="9">
        <f t="array" ref="M10:M17">_xldudf_ELRISKMEASURE("es","contributions",$G$10:$G$17,$H$10:$H$17,"weight","USD",252,0.95)</f>
        <v/>
      </c>
      <c r="N10" s="9">
        <f t="array" ref="N10:N17">_xldudf_ELRISKMEASURE("es","portfolio",$G$10:$G$17,$H$10:$H$17,"weight","USD",252,0.95)</f>
        <v/>
      </c>
      <c r="O10" s="9">
        <f t="array" ref="O10:O17">_xldudf_ELRISKMEASURE("var","positions",$G$10:$G$17,$H$10:$H$17,"weight","USD",252,0.95)</f>
        <v/>
      </c>
      <c r="P10" s="9">
        <f t="array" ref="P10:P17">_xldudf_ELRISKMEASURE("var","contributions",$G$10:$G$17,$H$10:$H$17,"weight","USD",252,0.95)</f>
        <v/>
      </c>
      <c r="Q10" s="9">
        <f t="array" ref="Q10:Q17">_xldudf_ELRISKMEASURE("var","portfolio",$G$10:$G$17,$H$10:$H$17,"weight","USD",252,0.95)</f>
        <v/>
      </c>
      <c r="R10" s="9">
        <f t="array" ref="R10:R17">_xldudf_ELSTRESSSCENARIO("pnl","positions",3021,$G$10:$G$17,$H$10:$H$17,"weight","USD","relative")</f>
        <v/>
      </c>
      <c r="S10" s="9">
        <f t="array" ref="S10:S17">_xldudf_ELSTRESSSCENARIO("pnl","portfolio",3021,$G$10:$G$17,$H$10:$H$17,"weight","USD","relative")</f>
        <v/>
      </c>
      <c r="T10" s="9">
        <f t="array" ref="T10:T17">_xldudf_ELSTRESSSCENARIO("pnl","positions",21148,$G$10:$G$17,$H$10:$H$17,"weight","USD","relative")</f>
        <v/>
      </c>
      <c r="U10" s="9">
        <f t="array" ref="U10:U17">_xldudf_ELSTRESSSCENARIO("pnl","portfolio",21148,$G$10:$G$17,$H$10:$H$17,"weight","USD","relative")</f>
        <v/>
      </c>
    </row>
    <row r="11">
      <c r="E11" s="7" t="inlineStr">
        <is>
          <t>JPM US Select Equity Fund</t>
        </is>
      </c>
      <c r="F11" s="7" t="inlineStr">
        <is>
          <t>LU0672672143</t>
        </is>
      </c>
      <c r="G11" s="7" t="inlineStr">
        <is>
          <t>LU0672672143</t>
        </is>
      </c>
      <c r="H11" s="8" t="n">
        <v>0.1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</row>
    <row r="12">
      <c r="E12" s="7" t="inlineStr">
        <is>
          <t>ABN Parnassus US Sustainable Equity</t>
        </is>
      </c>
      <c r="F12" s="7" t="inlineStr">
        <is>
          <t>LU1670606760</t>
        </is>
      </c>
      <c r="G12" s="7" t="inlineStr">
        <is>
          <t>LU1670606760</t>
        </is>
      </c>
      <c r="H12" s="8" t="n">
        <v>0.15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>
      <c r="E13" s="7" t="inlineStr">
        <is>
          <t>HSBC Global Aggregate Bond Index</t>
        </is>
      </c>
      <c r="F13" s="7" t="inlineStr">
        <is>
          <t>IE00BF5DZ473</t>
        </is>
      </c>
      <c r="G13" s="7" t="inlineStr">
        <is>
          <t>IE00BF5DZ473</t>
        </is>
      </c>
      <c r="H13" s="8" t="n">
        <v>0.1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</row>
    <row r="14">
      <c r="E14" s="7" t="inlineStr">
        <is>
          <t>JPM Aggregate Bond EUR Hedged</t>
        </is>
      </c>
      <c r="F14" s="7" t="inlineStr">
        <is>
          <t>LU0430493568</t>
        </is>
      </c>
      <c r="G14" s="7" t="inlineStr">
        <is>
          <t>LU0430493568</t>
        </is>
      </c>
      <c r="H14" s="8" t="n">
        <v>0.1</v>
      </c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>
      <c r="E15" s="10" t="inlineStr">
        <is>
          <t>KKR North America XIV</t>
        </is>
      </c>
      <c r="F15" s="11" t="inlineStr">
        <is>
          <t>8104697100</t>
        </is>
      </c>
      <c r="G15" s="11" t="inlineStr">
        <is>
          <t>dcd91934-5641-46c7-b54b-ec42bc6b21ad</t>
        </is>
      </c>
      <c r="H15" s="12" t="n">
        <v>0.2</v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E16" s="7" t="inlineStr">
        <is>
          <t>HSBC Global Aggregate Bond Index</t>
        </is>
      </c>
      <c r="F16" s="7" t="inlineStr">
        <is>
          <t>IE00BF5DZ473</t>
        </is>
      </c>
      <c r="G16" s="7" t="inlineStr">
        <is>
          <t>IE00BF5DZ473</t>
        </is>
      </c>
      <c r="H16" s="8" t="n">
        <v>0.15</v>
      </c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>
      <c r="E17" s="7" t="inlineStr">
        <is>
          <t>Vanguard Global Bond Index EUR Hedged</t>
        </is>
      </c>
      <c r="F17" s="7" t="inlineStr">
        <is>
          <t>IE00BGCZ0B53</t>
        </is>
      </c>
      <c r="G17" s="7" t="inlineStr">
        <is>
          <t>IE00BGCZ0B53</t>
        </is>
      </c>
      <c r="H17" s="8" t="n">
        <v>0.1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>
      <c r="E18" s="14" t="n"/>
      <c r="F18" s="15" t="inlineStr">
        <is>
          <t>Portfolio</t>
        </is>
      </c>
      <c r="G18" s="14" t="n"/>
      <c r="H18" s="16" t="n">
        <v>1</v>
      </c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20">
      <c r="E20" s="4" t="inlineStr">
        <is>
          <t>PTF 2: Riverstone IV</t>
        </is>
      </c>
      <c r="L20" s="5" t="inlineStr">
        <is>
          <t>Burgiss: Core PE / Energy</t>
        </is>
      </c>
    </row>
    <row r="21">
      <c r="E21" s="6" t="inlineStr">
        <is>
          <t>name</t>
        </is>
      </c>
      <c r="F21" s="6" t="inlineStr">
        <is>
          <t>JPM ID</t>
        </is>
      </c>
      <c r="G21" s="6" t="inlineStr">
        <is>
          <t>EL ID</t>
        </is>
      </c>
      <c r="H21" s="6" t="inlineStr">
        <is>
          <t>Weight</t>
        </is>
      </c>
      <c r="I21" s="6" t="inlineStr">
        <is>
          <t>Vol Pos</t>
        </is>
      </c>
      <c r="J21" s="6" t="inlineStr">
        <is>
          <t>Vol Contrib</t>
        </is>
      </c>
      <c r="K21" s="6" t="inlineStr">
        <is>
          <t>Vol Ptf</t>
        </is>
      </c>
      <c r="L21" s="6" t="inlineStr">
        <is>
          <t>ES Pos</t>
        </is>
      </c>
      <c r="M21" s="6" t="inlineStr">
        <is>
          <t>ES Contrib</t>
        </is>
      </c>
      <c r="N21" s="6" t="inlineStr">
        <is>
          <t>ES Ptf</t>
        </is>
      </c>
      <c r="O21" s="6" t="inlineStr">
        <is>
          <t>VaR Pos</t>
        </is>
      </c>
      <c r="P21" s="6" t="inlineStr">
        <is>
          <t>VaR Contrib</t>
        </is>
      </c>
      <c r="Q21" s="6" t="inlineStr">
        <is>
          <t>VaR Ptf</t>
        </is>
      </c>
      <c r="R21" s="6" t="inlineStr">
        <is>
          <t>GFC Pos</t>
        </is>
      </c>
      <c r="S21" s="6" t="inlineStr">
        <is>
          <t>GFC Ptf</t>
        </is>
      </c>
      <c r="T21" s="6" t="inlineStr">
        <is>
          <t>+100bp Pos</t>
        </is>
      </c>
      <c r="U21" s="6" t="inlineStr">
        <is>
          <t>+100bp Ptf</t>
        </is>
      </c>
    </row>
    <row r="22">
      <c r="E22" s="7" t="inlineStr">
        <is>
          <t>Microsoft Corp</t>
        </is>
      </c>
      <c r="F22" s="7" t="inlineStr">
        <is>
          <t>US5949181045</t>
        </is>
      </c>
      <c r="G22" s="7" t="inlineStr">
        <is>
          <t>US5949181045</t>
        </is>
      </c>
      <c r="H22" s="8" t="n">
        <v>0.1</v>
      </c>
      <c r="I22" s="9">
        <f t="array" ref="I22:I29">_xldudf_ELRISKMEASURE("volatility","positions",$G$22:$G$29,$H$22:$H$29,"weight","USD",252,0.95)</f>
        <v/>
      </c>
      <c r="J22" s="9">
        <f t="array" ref="J22:J29">_xldudf_ELRISKMEASURE("volatility","contributions",$G$22:$G$29,$H$22:$H$29,"weight","USD",252,0.95)</f>
        <v/>
      </c>
      <c r="K22" s="9">
        <f t="array" ref="K22:K29">_xldudf_ELRISKMEASURE("volatility","portfolio",$G$22:$G$29,$H$22:$H$29,"weight","USD",252,0.95)</f>
        <v/>
      </c>
      <c r="L22" s="9">
        <f t="array" ref="L22:L29">_xldudf_ELRISKMEASURE("es","positions",$G$22:$G$29,$H$22:$H$29,"weight","USD",252,0.95)</f>
        <v/>
      </c>
      <c r="M22" s="9">
        <f t="array" ref="M22:M29">_xldudf_ELRISKMEASURE("es","contributions",$G$22:$G$29,$H$22:$H$29,"weight","USD",252,0.95)</f>
        <v/>
      </c>
      <c r="N22" s="9">
        <f t="array" ref="N22:N29">_xldudf_ELRISKMEASURE("es","portfolio",$G$22:$G$29,$H$22:$H$29,"weight","USD",252,0.95)</f>
        <v/>
      </c>
      <c r="O22" s="9">
        <f t="array" ref="O22:O29">_xldudf_ELRISKMEASURE("var","positions",$G$22:$G$29,$H$22:$H$29,"weight","USD",252,0.95)</f>
        <v/>
      </c>
      <c r="P22" s="9">
        <f t="array" ref="P22:P29">_xldudf_ELRISKMEASURE("var","contributions",$G$22:$G$29,$H$22:$H$29,"weight","USD",252,0.95)</f>
        <v/>
      </c>
      <c r="Q22" s="9">
        <f t="array" ref="Q22:Q29">_xldudf_ELRISKMEASURE("var","portfolio",$G$22:$G$29,$H$22:$H$29,"weight","USD",252,0.95)</f>
        <v/>
      </c>
      <c r="R22" s="9">
        <f t="array" ref="R22:R29">_xldudf_ELSTRESSSCENARIO("pnl","positions",3021,$G$22:$G$29,$H$22:$H$29,"weight","USD","relative")</f>
        <v/>
      </c>
      <c r="S22" s="9">
        <f t="array" ref="S22:S29">_xldudf_ELSTRESSSCENARIO("pnl","portfolio",3021,$G$22:$G$29,$H$22:$H$29,"weight","USD","relative")</f>
        <v/>
      </c>
      <c r="T22" s="9">
        <f t="array" ref="T22:T29">_xldudf_ELSTRESSSCENARIO("pnl","positions",21148,$G$22:$G$29,$H$22:$H$29,"weight","USD","relative")</f>
        <v/>
      </c>
      <c r="U22" s="9">
        <f t="array" ref="U22:U29">_xldudf_ELSTRESSSCENARIO("pnl","portfolio",21148,$G$22:$G$29,$H$22:$H$29,"weight","USD","relative")</f>
        <v/>
      </c>
    </row>
    <row r="23">
      <c r="E23" s="7" t="inlineStr">
        <is>
          <t>JPM US Select Equity Fund</t>
        </is>
      </c>
      <c r="F23" s="7" t="inlineStr">
        <is>
          <t>LU0672672143</t>
        </is>
      </c>
      <c r="G23" s="7" t="inlineStr">
        <is>
          <t>LU0672672143</t>
        </is>
      </c>
      <c r="H23" s="8" t="n">
        <v>0.1</v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</row>
    <row r="24">
      <c r="E24" s="7" t="inlineStr">
        <is>
          <t>ABN Parnassus US Sustainable Equity</t>
        </is>
      </c>
      <c r="F24" s="7" t="inlineStr">
        <is>
          <t>LU1670606760</t>
        </is>
      </c>
      <c r="G24" s="7" t="inlineStr">
        <is>
          <t>LU1670606760</t>
        </is>
      </c>
      <c r="H24" s="8" t="n">
        <v>0.15</v>
      </c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>
      <c r="E25" s="7" t="inlineStr">
        <is>
          <t>HSBC Global Aggregate Bond Index</t>
        </is>
      </c>
      <c r="F25" s="7" t="inlineStr">
        <is>
          <t>IE00BF5DZ473</t>
        </is>
      </c>
      <c r="G25" s="7" t="inlineStr">
        <is>
          <t>IE00BF5DZ473</t>
        </is>
      </c>
      <c r="H25" s="8" t="n">
        <v>0.1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</row>
    <row r="26">
      <c r="E26" s="7" t="inlineStr">
        <is>
          <t>JPM Aggregate Bond EUR Hedged</t>
        </is>
      </c>
      <c r="F26" s="7" t="inlineStr">
        <is>
          <t>LU0430493568</t>
        </is>
      </c>
      <c r="G26" s="7" t="inlineStr">
        <is>
          <t>LU0430493568</t>
        </is>
      </c>
      <c r="H26" s="8" t="n">
        <v>0.1</v>
      </c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>
      <c r="E27" s="10" t="inlineStr">
        <is>
          <t>Riverstone IV</t>
        </is>
      </c>
      <c r="F27" s="11" t="inlineStr">
        <is>
          <t>8104697100</t>
        </is>
      </c>
      <c r="G27" s="11" t="inlineStr">
        <is>
          <t>dcd91934-5641-46c7-b54b-ec42bc6b21ad</t>
        </is>
      </c>
      <c r="H27" s="12" t="n">
        <v>0.2</v>
      </c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E28" s="7" t="inlineStr">
        <is>
          <t>HSBC Global Aggregate Bond Index</t>
        </is>
      </c>
      <c r="F28" s="7" t="inlineStr">
        <is>
          <t>IE00BF5DZ473</t>
        </is>
      </c>
      <c r="G28" s="7" t="inlineStr">
        <is>
          <t>IE00BF5DZ473</t>
        </is>
      </c>
      <c r="H28" s="8" t="n">
        <v>0.15</v>
      </c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>
      <c r="E29" s="7" t="inlineStr">
        <is>
          <t>Vanguard Global Bond Index EUR Hedged</t>
        </is>
      </c>
      <c r="F29" s="7" t="inlineStr">
        <is>
          <t>IE00BGCZ0B53</t>
        </is>
      </c>
      <c r="G29" s="7" t="inlineStr">
        <is>
          <t>IE00BGCZ0B53</t>
        </is>
      </c>
      <c r="H29" s="8" t="n">
        <v>0.1</v>
      </c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</row>
    <row r="30">
      <c r="E30" s="14" t="n"/>
      <c r="F30" s="15" t="inlineStr">
        <is>
          <t>Portfolio</t>
        </is>
      </c>
      <c r="G30" s="14" t="n"/>
      <c r="H30" s="16" t="n">
        <v>1</v>
      </c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</row>
    <row r="32">
      <c r="E32" s="4" t="inlineStr">
        <is>
          <t>PTF 3: Learn Capital IV</t>
        </is>
      </c>
      <c r="L32" s="5" t="inlineStr">
        <is>
          <t>Burgiss: VC / Venture</t>
        </is>
      </c>
    </row>
    <row r="33">
      <c r="E33" s="6" t="inlineStr">
        <is>
          <t>name</t>
        </is>
      </c>
      <c r="F33" s="6" t="inlineStr">
        <is>
          <t>JPM ID</t>
        </is>
      </c>
      <c r="G33" s="6" t="inlineStr">
        <is>
          <t>EL ID</t>
        </is>
      </c>
      <c r="H33" s="6" t="inlineStr">
        <is>
          <t>Weight</t>
        </is>
      </c>
      <c r="I33" s="6" t="inlineStr">
        <is>
          <t>Vol Pos</t>
        </is>
      </c>
      <c r="J33" s="6" t="inlineStr">
        <is>
          <t>Vol Contrib</t>
        </is>
      </c>
      <c r="K33" s="6" t="inlineStr">
        <is>
          <t>Vol Ptf</t>
        </is>
      </c>
      <c r="L33" s="6" t="inlineStr">
        <is>
          <t>ES Pos</t>
        </is>
      </c>
      <c r="M33" s="6" t="inlineStr">
        <is>
          <t>ES Contrib</t>
        </is>
      </c>
      <c r="N33" s="6" t="inlineStr">
        <is>
          <t>ES Ptf</t>
        </is>
      </c>
      <c r="O33" s="6" t="inlineStr">
        <is>
          <t>VaR Pos</t>
        </is>
      </c>
      <c r="P33" s="6" t="inlineStr">
        <is>
          <t>VaR Contrib</t>
        </is>
      </c>
      <c r="Q33" s="6" t="inlineStr">
        <is>
          <t>VaR Ptf</t>
        </is>
      </c>
      <c r="R33" s="6" t="inlineStr">
        <is>
          <t>GFC Pos</t>
        </is>
      </c>
      <c r="S33" s="6" t="inlineStr">
        <is>
          <t>GFC Ptf</t>
        </is>
      </c>
      <c r="T33" s="6" t="inlineStr">
        <is>
          <t>+100bp Pos</t>
        </is>
      </c>
      <c r="U33" s="6" t="inlineStr">
        <is>
          <t>+100bp Ptf</t>
        </is>
      </c>
    </row>
    <row r="34">
      <c r="E34" s="7" t="inlineStr">
        <is>
          <t>Microsoft Corp</t>
        </is>
      </c>
      <c r="F34" s="7" t="inlineStr">
        <is>
          <t>US5949181045</t>
        </is>
      </c>
      <c r="G34" s="7" t="inlineStr">
        <is>
          <t>US5949181045</t>
        </is>
      </c>
      <c r="H34" s="8" t="n">
        <v>0.1</v>
      </c>
      <c r="I34" s="9">
        <f t="array" ref="I34:I41">_xldudf_ELRISKMEASURE("volatility","positions",$G$34:$G$41,$H$34:$H$41,"weight","USD",252,0.95)</f>
        <v/>
      </c>
      <c r="J34" s="9">
        <f t="array" ref="J34:J41">_xldudf_ELRISKMEASURE("volatility","contributions",$G$34:$G$41,$H$34:$H$41,"weight","USD",252,0.95)</f>
        <v/>
      </c>
      <c r="K34" s="9">
        <f t="array" ref="K34:K41">_xldudf_ELRISKMEASURE("volatility","portfolio",$G$34:$G$41,$H$34:$H$41,"weight","USD",252,0.95)</f>
        <v/>
      </c>
      <c r="L34" s="9">
        <f t="array" ref="L34:L41">_xldudf_ELRISKMEASURE("es","positions",$G$34:$G$41,$H$34:$H$41,"weight","USD",252,0.95)</f>
        <v/>
      </c>
      <c r="M34" s="9">
        <f t="array" ref="M34:M41">_xldudf_ELRISKMEASURE("es","contributions",$G$34:$G$41,$H$34:$H$41,"weight","USD",252,0.95)</f>
        <v/>
      </c>
      <c r="N34" s="9">
        <f t="array" ref="N34:N41">_xldudf_ELRISKMEASURE("es","portfolio",$G$34:$G$41,$H$34:$H$41,"weight","USD",252,0.95)</f>
        <v/>
      </c>
      <c r="O34" s="9">
        <f t="array" ref="O34:O41">_xldudf_ELRISKMEASURE("var","positions",$G$34:$G$41,$H$34:$H$41,"weight","USD",252,0.95)</f>
        <v/>
      </c>
      <c r="P34" s="9">
        <f t="array" ref="P34:P41">_xldudf_ELRISKMEASURE("var","contributions",$G$34:$G$41,$H$34:$H$41,"weight","USD",252,0.95)</f>
        <v/>
      </c>
      <c r="Q34" s="9">
        <f t="array" ref="Q34:Q41">_xldudf_ELRISKMEASURE("var","portfolio",$G$34:$G$41,$H$34:$H$41,"weight","USD",252,0.95)</f>
        <v/>
      </c>
      <c r="R34" s="9">
        <f t="array" ref="R34:R41">_xldudf_ELSTRESSSCENARIO("pnl","positions",3021,$G$34:$G$41,$H$34:$H$41,"weight","USD","relative")</f>
        <v/>
      </c>
      <c r="S34" s="9">
        <f t="array" ref="S34:S41">_xldudf_ELSTRESSSCENARIO("pnl","portfolio",3021,$G$34:$G$41,$H$34:$H$41,"weight","USD","relative")</f>
        <v/>
      </c>
      <c r="T34" s="9">
        <f t="array" ref="T34:T41">_xldudf_ELSTRESSSCENARIO("pnl","positions",21148,$G$34:$G$41,$H$34:$H$41,"weight","USD","relative")</f>
        <v/>
      </c>
      <c r="U34" s="9">
        <f t="array" ref="U34:U41">_xldudf_ELSTRESSSCENARIO("pnl","portfolio",21148,$G$34:$G$41,$H$34:$H$41,"weight","USD","relative")</f>
        <v/>
      </c>
    </row>
    <row r="35">
      <c r="E35" s="7" t="inlineStr">
        <is>
          <t>JPM US Select Equity Fund</t>
        </is>
      </c>
      <c r="F35" s="7" t="inlineStr">
        <is>
          <t>LU0672672143</t>
        </is>
      </c>
      <c r="G35" s="7" t="inlineStr">
        <is>
          <t>LU0672672143</t>
        </is>
      </c>
      <c r="H35" s="8" t="n">
        <v>0.1</v>
      </c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</row>
    <row r="36">
      <c r="E36" s="7" t="inlineStr">
        <is>
          <t>ABN Parnassus US Sustainable Equity</t>
        </is>
      </c>
      <c r="F36" s="7" t="inlineStr">
        <is>
          <t>LU1670606760</t>
        </is>
      </c>
      <c r="G36" s="7" t="inlineStr">
        <is>
          <t>LU1670606760</t>
        </is>
      </c>
      <c r="H36" s="8" t="n">
        <v>0.15</v>
      </c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>
      <c r="E37" s="7" t="inlineStr">
        <is>
          <t>HSBC Global Aggregate Bond Index</t>
        </is>
      </c>
      <c r="F37" s="7" t="inlineStr">
        <is>
          <t>IE00BF5DZ473</t>
        </is>
      </c>
      <c r="G37" s="7" t="inlineStr">
        <is>
          <t>IE00BF5DZ473</t>
        </is>
      </c>
      <c r="H37" s="8" t="n">
        <v>0.1</v>
      </c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</row>
    <row r="38">
      <c r="E38" s="7" t="inlineStr">
        <is>
          <t>JPM Aggregate Bond EUR Hedged</t>
        </is>
      </c>
      <c r="F38" s="7" t="inlineStr">
        <is>
          <t>LU0430493568</t>
        </is>
      </c>
      <c r="G38" s="7" t="inlineStr">
        <is>
          <t>LU0430493568</t>
        </is>
      </c>
      <c r="H38" s="8" t="n">
        <v>0.1</v>
      </c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>
      <c r="E39" s="10" t="inlineStr">
        <is>
          <t>Learn Capital IV</t>
        </is>
      </c>
      <c r="F39" s="11" t="inlineStr">
        <is>
          <t>8108570100</t>
        </is>
      </c>
      <c r="G39" s="11" t="inlineStr">
        <is>
          <t>335daaa5-bb86-4464-9643-b4ec39703699</t>
        </is>
      </c>
      <c r="H39" s="12" t="n">
        <v>0.2</v>
      </c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E40" s="7" t="inlineStr">
        <is>
          <t>HSBC Global Aggregate Bond Index</t>
        </is>
      </c>
      <c r="F40" s="7" t="inlineStr">
        <is>
          <t>IE00BF5DZ473</t>
        </is>
      </c>
      <c r="G40" s="7" t="inlineStr">
        <is>
          <t>IE00BF5DZ473</t>
        </is>
      </c>
      <c r="H40" s="8" t="n">
        <v>0.15</v>
      </c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>
      <c r="E41" s="7" t="inlineStr">
        <is>
          <t>Vanguard Global Bond Index EUR Hedged</t>
        </is>
      </c>
      <c r="F41" s="7" t="inlineStr">
        <is>
          <t>IE00BGCZ0B53</t>
        </is>
      </c>
      <c r="G41" s="7" t="inlineStr">
        <is>
          <t>IE00BGCZ0B53</t>
        </is>
      </c>
      <c r="H41" s="8" t="n">
        <v>0.1</v>
      </c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</row>
    <row r="42">
      <c r="E42" s="14" t="n"/>
      <c r="F42" s="15" t="inlineStr">
        <is>
          <t>Portfolio</t>
        </is>
      </c>
      <c r="G42" s="14" t="n"/>
      <c r="H42" s="16" t="n">
        <v>1</v>
      </c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</row>
    <row r="44">
      <c r="E44" s="4" t="inlineStr">
        <is>
          <t>PTF 4: DFJ Growth IV</t>
        </is>
      </c>
      <c r="L44" s="5" t="inlineStr">
        <is>
          <t>Burgiss: VC / Growth</t>
        </is>
      </c>
    </row>
    <row r="45">
      <c r="E45" s="6" t="inlineStr">
        <is>
          <t>name</t>
        </is>
      </c>
      <c r="F45" s="6" t="inlineStr">
        <is>
          <t>JPM ID</t>
        </is>
      </c>
      <c r="G45" s="6" t="inlineStr">
        <is>
          <t>EL ID</t>
        </is>
      </c>
      <c r="H45" s="6" t="inlineStr">
        <is>
          <t>Weight</t>
        </is>
      </c>
      <c r="I45" s="6" t="inlineStr">
        <is>
          <t>Vol Pos</t>
        </is>
      </c>
      <c r="J45" s="6" t="inlineStr">
        <is>
          <t>Vol Contrib</t>
        </is>
      </c>
      <c r="K45" s="6" t="inlineStr">
        <is>
          <t>Vol Ptf</t>
        </is>
      </c>
      <c r="L45" s="6" t="inlineStr">
        <is>
          <t>ES Pos</t>
        </is>
      </c>
      <c r="M45" s="6" t="inlineStr">
        <is>
          <t>ES Contrib</t>
        </is>
      </c>
      <c r="N45" s="6" t="inlineStr">
        <is>
          <t>ES Ptf</t>
        </is>
      </c>
      <c r="O45" s="6" t="inlineStr">
        <is>
          <t>VaR Pos</t>
        </is>
      </c>
      <c r="P45" s="6" t="inlineStr">
        <is>
          <t>VaR Contrib</t>
        </is>
      </c>
      <c r="Q45" s="6" t="inlineStr">
        <is>
          <t>VaR Ptf</t>
        </is>
      </c>
      <c r="R45" s="6" t="inlineStr">
        <is>
          <t>GFC Pos</t>
        </is>
      </c>
      <c r="S45" s="6" t="inlineStr">
        <is>
          <t>GFC Ptf</t>
        </is>
      </c>
      <c r="T45" s="6" t="inlineStr">
        <is>
          <t>+100bp Pos</t>
        </is>
      </c>
      <c r="U45" s="6" t="inlineStr">
        <is>
          <t>+100bp Ptf</t>
        </is>
      </c>
    </row>
    <row r="46">
      <c r="E46" s="7" t="inlineStr">
        <is>
          <t>Microsoft Corp</t>
        </is>
      </c>
      <c r="F46" s="7" t="inlineStr">
        <is>
          <t>US5949181045</t>
        </is>
      </c>
      <c r="G46" s="7" t="inlineStr">
        <is>
          <t>US5949181045</t>
        </is>
      </c>
      <c r="H46" s="8" t="n">
        <v>0.1</v>
      </c>
      <c r="I46" s="9">
        <f t="array" ref="I46:I53">_xldudf_ELRISKMEASURE("volatility","positions",$G$46:$G$53,$H$46:$H$53,"weight","USD",252,0.95)</f>
        <v/>
      </c>
      <c r="J46" s="9">
        <f t="array" ref="J46:J53">_xldudf_ELRISKMEASURE("volatility","contributions",$G$46:$G$53,$H$46:$H$53,"weight","USD",252,0.95)</f>
        <v/>
      </c>
      <c r="K46" s="9">
        <f t="array" ref="K46:K53">_xldudf_ELRISKMEASURE("volatility","portfolio",$G$46:$G$53,$H$46:$H$53,"weight","USD",252,0.95)</f>
        <v/>
      </c>
      <c r="L46" s="9">
        <f t="array" ref="L46:L53">_xldudf_ELRISKMEASURE("es","positions",$G$46:$G$53,$H$46:$H$53,"weight","USD",252,0.95)</f>
        <v/>
      </c>
      <c r="M46" s="9">
        <f t="array" ref="M46:M53">_xldudf_ELRISKMEASURE("es","contributions",$G$46:$G$53,$H$46:$H$53,"weight","USD",252,0.95)</f>
        <v/>
      </c>
      <c r="N46" s="9">
        <f t="array" ref="N46:N53">_xldudf_ELRISKMEASURE("es","portfolio",$G$46:$G$53,$H$46:$H$53,"weight","USD",252,0.95)</f>
        <v/>
      </c>
      <c r="O46" s="9">
        <f t="array" ref="O46:O53">_xldudf_ELRISKMEASURE("var","positions",$G$46:$G$53,$H$46:$H$53,"weight","USD",252,0.95)</f>
        <v/>
      </c>
      <c r="P46" s="9">
        <f t="array" ref="P46:P53">_xldudf_ELRISKMEASURE("var","contributions",$G$46:$G$53,$H$46:$H$53,"weight","USD",252,0.95)</f>
        <v/>
      </c>
      <c r="Q46" s="9">
        <f t="array" ref="Q46:Q53">_xldudf_ELRISKMEASURE("var","portfolio",$G$46:$G$53,$H$46:$H$53,"weight","USD",252,0.95)</f>
        <v/>
      </c>
      <c r="R46" s="9">
        <f t="array" ref="R46:R53">_xldudf_ELSTRESSSCENARIO("pnl","positions",3021,$G$46:$G$53,$H$46:$H$53,"weight","USD","relative")</f>
        <v/>
      </c>
      <c r="S46" s="9">
        <f t="array" ref="S46:S53">_xldudf_ELSTRESSSCENARIO("pnl","portfolio",3021,$G$46:$G$53,$H$46:$H$53,"weight","USD","relative")</f>
        <v/>
      </c>
      <c r="T46" s="9">
        <f t="array" ref="T46:T53">_xldudf_ELSTRESSSCENARIO("pnl","positions",21148,$G$46:$G$53,$H$46:$H$53,"weight","USD","relative")</f>
        <v/>
      </c>
      <c r="U46" s="9">
        <f t="array" ref="U46:U53">_xldudf_ELSTRESSSCENARIO("pnl","portfolio",21148,$G$46:$G$53,$H$46:$H$53,"weight","USD","relative")</f>
        <v/>
      </c>
    </row>
    <row r="47">
      <c r="E47" s="7" t="inlineStr">
        <is>
          <t>JPM US Select Equity Fund</t>
        </is>
      </c>
      <c r="F47" s="7" t="inlineStr">
        <is>
          <t>LU0672672143</t>
        </is>
      </c>
      <c r="G47" s="7" t="inlineStr">
        <is>
          <t>LU0672672143</t>
        </is>
      </c>
      <c r="H47" s="8" t="n">
        <v>0.1</v>
      </c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</row>
    <row r="48">
      <c r="E48" s="7" t="inlineStr">
        <is>
          <t>ABN Parnassus US Sustainable Equity</t>
        </is>
      </c>
      <c r="F48" s="7" t="inlineStr">
        <is>
          <t>LU1670606760</t>
        </is>
      </c>
      <c r="G48" s="7" t="inlineStr">
        <is>
          <t>LU1670606760</t>
        </is>
      </c>
      <c r="H48" s="8" t="n">
        <v>0.15</v>
      </c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>
      <c r="E49" s="7" t="inlineStr">
        <is>
          <t>HSBC Global Aggregate Bond Index</t>
        </is>
      </c>
      <c r="F49" s="7" t="inlineStr">
        <is>
          <t>IE00BF5DZ473</t>
        </is>
      </c>
      <c r="G49" s="7" t="inlineStr">
        <is>
          <t>IE00BF5DZ473</t>
        </is>
      </c>
      <c r="H49" s="8" t="n">
        <v>0.1</v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</row>
    <row r="50">
      <c r="E50" s="7" t="inlineStr">
        <is>
          <t>JPM Aggregate Bond EUR Hedged</t>
        </is>
      </c>
      <c r="F50" s="7" t="inlineStr">
        <is>
          <t>LU0430493568</t>
        </is>
      </c>
      <c r="G50" s="7" t="inlineStr">
        <is>
          <t>LU0430493568</t>
        </is>
      </c>
      <c r="H50" s="8" t="n">
        <v>0.1</v>
      </c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>
      <c r="E51" s="10" t="inlineStr">
        <is>
          <t>DFJ Growth IV</t>
        </is>
      </c>
      <c r="F51" s="11" t="inlineStr">
        <is>
          <t>8108570100</t>
        </is>
      </c>
      <c r="G51" s="11" t="inlineStr">
        <is>
          <t>335daaa5-bb86-4464-9643-b4ec39703699</t>
        </is>
      </c>
      <c r="H51" s="12" t="n">
        <v>0.2</v>
      </c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E52" s="7" t="inlineStr">
        <is>
          <t>HSBC Global Aggregate Bond Index</t>
        </is>
      </c>
      <c r="F52" s="7" t="inlineStr">
        <is>
          <t>IE00BF5DZ473</t>
        </is>
      </c>
      <c r="G52" s="7" t="inlineStr">
        <is>
          <t>IE00BF5DZ473</t>
        </is>
      </c>
      <c r="H52" s="8" t="n">
        <v>0.15</v>
      </c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>
      <c r="E53" s="7" t="inlineStr">
        <is>
          <t>Vanguard Global Bond Index EUR Hedged</t>
        </is>
      </c>
      <c r="F53" s="7" t="inlineStr">
        <is>
          <t>IE00BGCZ0B53</t>
        </is>
      </c>
      <c r="G53" s="7" t="inlineStr">
        <is>
          <t>IE00BGCZ0B53</t>
        </is>
      </c>
      <c r="H53" s="8" t="n">
        <v>0.1</v>
      </c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</row>
    <row r="54">
      <c r="E54" s="14" t="n"/>
      <c r="F54" s="15" t="inlineStr">
        <is>
          <t>Portfolio</t>
        </is>
      </c>
      <c r="G54" s="14" t="n"/>
      <c r="H54" s="16" t="n">
        <v>1</v>
      </c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</row>
    <row r="56">
      <c r="E56" s="4" t="inlineStr">
        <is>
          <t>PTF 5: HPS Core Senior Lending II</t>
        </is>
      </c>
      <c r="L56" s="5" t="inlineStr">
        <is>
          <t>Burgiss: Credit / Direct Lending</t>
        </is>
      </c>
    </row>
    <row r="57">
      <c r="E57" s="6" t="inlineStr">
        <is>
          <t>name</t>
        </is>
      </c>
      <c r="F57" s="6" t="inlineStr">
        <is>
          <t>JPM ID</t>
        </is>
      </c>
      <c r="G57" s="6" t="inlineStr">
        <is>
          <t>EL ID</t>
        </is>
      </c>
      <c r="H57" s="6" t="inlineStr">
        <is>
          <t>Weight</t>
        </is>
      </c>
      <c r="I57" s="6" t="inlineStr">
        <is>
          <t>Vol Pos</t>
        </is>
      </c>
      <c r="J57" s="6" t="inlineStr">
        <is>
          <t>Vol Contrib</t>
        </is>
      </c>
      <c r="K57" s="6" t="inlineStr">
        <is>
          <t>Vol Ptf</t>
        </is>
      </c>
      <c r="L57" s="6" t="inlineStr">
        <is>
          <t>ES Pos</t>
        </is>
      </c>
      <c r="M57" s="6" t="inlineStr">
        <is>
          <t>ES Contrib</t>
        </is>
      </c>
      <c r="N57" s="6" t="inlineStr">
        <is>
          <t>ES Ptf</t>
        </is>
      </c>
      <c r="O57" s="6" t="inlineStr">
        <is>
          <t>VaR Pos</t>
        </is>
      </c>
      <c r="P57" s="6" t="inlineStr">
        <is>
          <t>VaR Contrib</t>
        </is>
      </c>
      <c r="Q57" s="6" t="inlineStr">
        <is>
          <t>VaR Ptf</t>
        </is>
      </c>
      <c r="R57" s="6" t="inlineStr">
        <is>
          <t>GFC Pos</t>
        </is>
      </c>
      <c r="S57" s="6" t="inlineStr">
        <is>
          <t>GFC Ptf</t>
        </is>
      </c>
      <c r="T57" s="6" t="inlineStr">
        <is>
          <t>+100bp Pos</t>
        </is>
      </c>
      <c r="U57" s="6" t="inlineStr">
        <is>
          <t>+100bp Ptf</t>
        </is>
      </c>
    </row>
    <row r="58">
      <c r="E58" s="7" t="inlineStr">
        <is>
          <t>Microsoft Corp</t>
        </is>
      </c>
      <c r="F58" s="7" t="inlineStr">
        <is>
          <t>US5949181045</t>
        </is>
      </c>
      <c r="G58" s="7" t="inlineStr">
        <is>
          <t>US5949181045</t>
        </is>
      </c>
      <c r="H58" s="8" t="n">
        <v>0.1</v>
      </c>
      <c r="I58" s="9">
        <f t="array" ref="I58:I65">_xldudf_ELRISKMEASURE("volatility","positions",$G$58:$G$65,$H$58:$H$65,"weight","USD",252,0.95)</f>
        <v/>
      </c>
      <c r="J58" s="9">
        <f t="array" ref="J58:J65">_xldudf_ELRISKMEASURE("volatility","contributions",$G$58:$G$65,$H$58:$H$65,"weight","USD",252,0.95)</f>
        <v/>
      </c>
      <c r="K58" s="9">
        <f t="array" ref="K58:K65">_xldudf_ELRISKMEASURE("volatility","portfolio",$G$58:$G$65,$H$58:$H$65,"weight","USD",252,0.95)</f>
        <v/>
      </c>
      <c r="L58" s="9">
        <f t="array" ref="L58:L65">_xldudf_ELRISKMEASURE("es","positions",$G$58:$G$65,$H$58:$H$65,"weight","USD",252,0.95)</f>
        <v/>
      </c>
      <c r="M58" s="9">
        <f t="array" ref="M58:M65">_xldudf_ELRISKMEASURE("es","contributions",$G$58:$G$65,$H$58:$H$65,"weight","USD",252,0.95)</f>
        <v/>
      </c>
      <c r="N58" s="9">
        <f t="array" ref="N58:N65">_xldudf_ELRISKMEASURE("es","portfolio",$G$58:$G$65,$H$58:$H$65,"weight","USD",252,0.95)</f>
        <v/>
      </c>
      <c r="O58" s="9">
        <f t="array" ref="O58:O65">_xldudf_ELRISKMEASURE("var","positions",$G$58:$G$65,$H$58:$H$65,"weight","USD",252,0.95)</f>
        <v/>
      </c>
      <c r="P58" s="9">
        <f t="array" ref="P58:P65">_xldudf_ELRISKMEASURE("var","contributions",$G$58:$G$65,$H$58:$H$65,"weight","USD",252,0.95)</f>
        <v/>
      </c>
      <c r="Q58" s="9">
        <f t="array" ref="Q58:Q65">_xldudf_ELRISKMEASURE("var","portfolio",$G$58:$G$65,$H$58:$H$65,"weight","USD",252,0.95)</f>
        <v/>
      </c>
      <c r="R58" s="9">
        <f t="array" ref="R58:R65">_xldudf_ELSTRESSSCENARIO("pnl","positions",3021,$G$58:$G$65,$H$58:$H$65,"weight","USD","relative")</f>
        <v/>
      </c>
      <c r="S58" s="9">
        <f t="array" ref="S58:S65">_xldudf_ELSTRESSSCENARIO("pnl","portfolio",3021,$G$58:$G$65,$H$58:$H$65,"weight","USD","relative")</f>
        <v/>
      </c>
      <c r="T58" s="9">
        <f t="array" ref="T58:T65">_xldudf_ELSTRESSSCENARIO("pnl","positions",21148,$G$58:$G$65,$H$58:$H$65,"weight","USD","relative")</f>
        <v/>
      </c>
      <c r="U58" s="9">
        <f t="array" ref="U58:U65">_xldudf_ELSTRESSSCENARIO("pnl","portfolio",21148,$G$58:$G$65,$H$58:$H$65,"weight","USD","relative")</f>
        <v/>
      </c>
    </row>
    <row r="59">
      <c r="E59" s="7" t="inlineStr">
        <is>
          <t>JPM US Select Equity Fund</t>
        </is>
      </c>
      <c r="F59" s="7" t="inlineStr">
        <is>
          <t>LU0672672143</t>
        </is>
      </c>
      <c r="G59" s="7" t="inlineStr">
        <is>
          <t>LU0672672143</t>
        </is>
      </c>
      <c r="H59" s="8" t="n">
        <v>0.1</v>
      </c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</row>
    <row r="60">
      <c r="E60" s="7" t="inlineStr">
        <is>
          <t>ABN Parnassus US Sustainable Equity</t>
        </is>
      </c>
      <c r="F60" s="7" t="inlineStr">
        <is>
          <t>LU1670606760</t>
        </is>
      </c>
      <c r="G60" s="7" t="inlineStr">
        <is>
          <t>LU1670606760</t>
        </is>
      </c>
      <c r="H60" s="8" t="n">
        <v>0.15</v>
      </c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>
      <c r="E61" s="7" t="inlineStr">
        <is>
          <t>HSBC Global Aggregate Bond Index</t>
        </is>
      </c>
      <c r="F61" s="7" t="inlineStr">
        <is>
          <t>IE00BF5DZ473</t>
        </is>
      </c>
      <c r="G61" s="7" t="inlineStr">
        <is>
          <t>IE00BF5DZ473</t>
        </is>
      </c>
      <c r="H61" s="8" t="n">
        <v>0.1</v>
      </c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</row>
    <row r="62">
      <c r="E62" s="7" t="inlineStr">
        <is>
          <t>JPM Aggregate Bond EUR Hedged</t>
        </is>
      </c>
      <c r="F62" s="7" t="inlineStr">
        <is>
          <t>LU0430493568</t>
        </is>
      </c>
      <c r="G62" s="7" t="inlineStr">
        <is>
          <t>LU0430493568</t>
        </is>
      </c>
      <c r="H62" s="8" t="n">
        <v>0.1</v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>
      <c r="E63" s="10" t="inlineStr">
        <is>
          <t>HPS Core Senior Lending II</t>
        </is>
      </c>
      <c r="F63" s="11" t="inlineStr">
        <is>
          <t>8104716100</t>
        </is>
      </c>
      <c r="G63" s="11" t="inlineStr">
        <is>
          <t>1cdf1d35-d695-406f-b0c0-2eb2f758d3b9</t>
        </is>
      </c>
      <c r="H63" s="12" t="n">
        <v>0.2</v>
      </c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E64" s="7" t="inlineStr">
        <is>
          <t>HSBC Global Aggregate Bond Index</t>
        </is>
      </c>
      <c r="F64" s="7" t="inlineStr">
        <is>
          <t>IE00BF5DZ473</t>
        </is>
      </c>
      <c r="G64" s="7" t="inlineStr">
        <is>
          <t>IE00BF5DZ473</t>
        </is>
      </c>
      <c r="H64" s="8" t="n">
        <v>0.15</v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>
      <c r="E65" s="7" t="inlineStr">
        <is>
          <t>Vanguard Global Bond Index EUR Hedged</t>
        </is>
      </c>
      <c r="F65" s="7" t="inlineStr">
        <is>
          <t>IE00BGCZ0B53</t>
        </is>
      </c>
      <c r="G65" s="7" t="inlineStr">
        <is>
          <t>IE00BGCZ0B53</t>
        </is>
      </c>
      <c r="H65" s="8" t="n">
        <v>0.1</v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</row>
    <row r="66">
      <c r="E66" s="14" t="n"/>
      <c r="F66" s="15" t="inlineStr">
        <is>
          <t>Portfolio</t>
        </is>
      </c>
      <c r="G66" s="14" t="n"/>
      <c r="H66" s="16" t="n">
        <v>1</v>
      </c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</row>
    <row r="68">
      <c r="E68" s="4" t="inlineStr">
        <is>
          <t>PTF 6: Apollo EPF IV</t>
        </is>
      </c>
      <c r="L68" s="5" t="inlineStr">
        <is>
          <t>Burgiss: Credit / Distressed</t>
        </is>
      </c>
    </row>
    <row r="69">
      <c r="E69" s="6" t="inlineStr">
        <is>
          <t>name</t>
        </is>
      </c>
      <c r="F69" s="6" t="inlineStr">
        <is>
          <t>JPM ID</t>
        </is>
      </c>
      <c r="G69" s="6" t="inlineStr">
        <is>
          <t>EL ID</t>
        </is>
      </c>
      <c r="H69" s="6" t="inlineStr">
        <is>
          <t>Weight</t>
        </is>
      </c>
      <c r="I69" s="6" t="inlineStr">
        <is>
          <t>Vol Pos</t>
        </is>
      </c>
      <c r="J69" s="6" t="inlineStr">
        <is>
          <t>Vol Contrib</t>
        </is>
      </c>
      <c r="K69" s="6" t="inlineStr">
        <is>
          <t>Vol Ptf</t>
        </is>
      </c>
      <c r="L69" s="6" t="inlineStr">
        <is>
          <t>ES Pos</t>
        </is>
      </c>
      <c r="M69" s="6" t="inlineStr">
        <is>
          <t>ES Contrib</t>
        </is>
      </c>
      <c r="N69" s="6" t="inlineStr">
        <is>
          <t>ES Ptf</t>
        </is>
      </c>
      <c r="O69" s="6" t="inlineStr">
        <is>
          <t>VaR Pos</t>
        </is>
      </c>
      <c r="P69" s="6" t="inlineStr">
        <is>
          <t>VaR Contrib</t>
        </is>
      </c>
      <c r="Q69" s="6" t="inlineStr">
        <is>
          <t>VaR Ptf</t>
        </is>
      </c>
      <c r="R69" s="6" t="inlineStr">
        <is>
          <t>GFC Pos</t>
        </is>
      </c>
      <c r="S69" s="6" t="inlineStr">
        <is>
          <t>GFC Ptf</t>
        </is>
      </c>
      <c r="T69" s="6" t="inlineStr">
        <is>
          <t>+100bp Pos</t>
        </is>
      </c>
      <c r="U69" s="6" t="inlineStr">
        <is>
          <t>+100bp Ptf</t>
        </is>
      </c>
    </row>
    <row r="70">
      <c r="E70" s="7" t="inlineStr">
        <is>
          <t>Microsoft Corp</t>
        </is>
      </c>
      <c r="F70" s="7" t="inlineStr">
        <is>
          <t>US5949181045</t>
        </is>
      </c>
      <c r="G70" s="7" t="inlineStr">
        <is>
          <t>US5949181045</t>
        </is>
      </c>
      <c r="H70" s="8" t="n">
        <v>0.1</v>
      </c>
      <c r="I70" s="9">
        <f t="array" ref="I70:I77">_xldudf_ELRISKMEASURE("volatility","positions",$G$70:$G$77,$H$70:$H$77,"weight","USD",252,0.95)</f>
        <v/>
      </c>
      <c r="J70" s="9">
        <f t="array" ref="J70:J77">_xldudf_ELRISKMEASURE("volatility","contributions",$G$70:$G$77,$H$70:$H$77,"weight","USD",252,0.95)</f>
        <v/>
      </c>
      <c r="K70" s="9">
        <f t="array" ref="K70:K77">_xldudf_ELRISKMEASURE("volatility","portfolio",$G$70:$G$77,$H$70:$H$77,"weight","USD",252,0.95)</f>
        <v/>
      </c>
      <c r="L70" s="9">
        <f t="array" ref="L70:L77">_xldudf_ELRISKMEASURE("es","positions",$G$70:$G$77,$H$70:$H$77,"weight","USD",252,0.95)</f>
        <v/>
      </c>
      <c r="M70" s="9">
        <f t="array" ref="M70:M77">_xldudf_ELRISKMEASURE("es","contributions",$G$70:$G$77,$H$70:$H$77,"weight","USD",252,0.95)</f>
        <v/>
      </c>
      <c r="N70" s="9">
        <f t="array" ref="N70:N77">_xldudf_ELRISKMEASURE("es","portfolio",$G$70:$G$77,$H$70:$H$77,"weight","USD",252,0.95)</f>
        <v/>
      </c>
      <c r="O70" s="9">
        <f t="array" ref="O70:O77">_xldudf_ELRISKMEASURE("var","positions",$G$70:$G$77,$H$70:$H$77,"weight","USD",252,0.95)</f>
        <v/>
      </c>
      <c r="P70" s="9">
        <f t="array" ref="P70:P77">_xldudf_ELRISKMEASURE("var","contributions",$G$70:$G$77,$H$70:$H$77,"weight","USD",252,0.95)</f>
        <v/>
      </c>
      <c r="Q70" s="9">
        <f t="array" ref="Q70:Q77">_xldudf_ELRISKMEASURE("var","portfolio",$G$70:$G$77,$H$70:$H$77,"weight","USD",252,0.95)</f>
        <v/>
      </c>
      <c r="R70" s="9">
        <f t="array" ref="R70:R77">_xldudf_ELSTRESSSCENARIO("pnl","positions",3021,$G$70:$G$77,$H$70:$H$77,"weight","USD","relative")</f>
        <v/>
      </c>
      <c r="S70" s="9">
        <f t="array" ref="S70:S77">_xldudf_ELSTRESSSCENARIO("pnl","portfolio",3021,$G$70:$G$77,$H$70:$H$77,"weight","USD","relative")</f>
        <v/>
      </c>
      <c r="T70" s="9">
        <f t="array" ref="T70:T77">_xldudf_ELSTRESSSCENARIO("pnl","positions",21148,$G$70:$G$77,$H$70:$H$77,"weight","USD","relative")</f>
        <v/>
      </c>
      <c r="U70" s="9">
        <f t="array" ref="U70:U77">_xldudf_ELSTRESSSCENARIO("pnl","portfolio",21148,$G$70:$G$77,$H$70:$H$77,"weight","USD","relative")</f>
        <v/>
      </c>
    </row>
    <row r="71">
      <c r="E71" s="7" t="inlineStr">
        <is>
          <t>JPM US Select Equity Fund</t>
        </is>
      </c>
      <c r="F71" s="7" t="inlineStr">
        <is>
          <t>LU0672672143</t>
        </is>
      </c>
      <c r="G71" s="7" t="inlineStr">
        <is>
          <t>LU0672672143</t>
        </is>
      </c>
      <c r="H71" s="8" t="n">
        <v>0.1</v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</row>
    <row r="72">
      <c r="E72" s="7" t="inlineStr">
        <is>
          <t>ABN Parnassus US Sustainable Equity</t>
        </is>
      </c>
      <c r="F72" s="7" t="inlineStr">
        <is>
          <t>LU1670606760</t>
        </is>
      </c>
      <c r="G72" s="7" t="inlineStr">
        <is>
          <t>LU1670606760</t>
        </is>
      </c>
      <c r="H72" s="8" t="n">
        <v>0.15</v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>
      <c r="E73" s="7" t="inlineStr">
        <is>
          <t>HSBC Global Aggregate Bond Index</t>
        </is>
      </c>
      <c r="F73" s="7" t="inlineStr">
        <is>
          <t>IE00BF5DZ473</t>
        </is>
      </c>
      <c r="G73" s="7" t="inlineStr">
        <is>
          <t>IE00BF5DZ473</t>
        </is>
      </c>
      <c r="H73" s="8" t="n">
        <v>0.1</v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</row>
    <row r="74">
      <c r="E74" s="7" t="inlineStr">
        <is>
          <t>JPM Aggregate Bond EUR Hedged</t>
        </is>
      </c>
      <c r="F74" s="7" t="inlineStr">
        <is>
          <t>LU0430493568</t>
        </is>
      </c>
      <c r="G74" s="7" t="inlineStr">
        <is>
          <t>LU0430493568</t>
        </is>
      </c>
      <c r="H74" s="8" t="n">
        <v>0.1</v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>
      <c r="E75" s="10" t="inlineStr">
        <is>
          <t>Apollo EPF IV</t>
        </is>
      </c>
      <c r="F75" s="11" t="inlineStr">
        <is>
          <t>8104710100</t>
        </is>
      </c>
      <c r="G75" s="11" t="inlineStr">
        <is>
          <t>1cdf1d35-d695-406f-b0c0-2eb2f758d3b9</t>
        </is>
      </c>
      <c r="H75" s="12" t="n">
        <v>0.2</v>
      </c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>
      <c r="E76" s="7" t="inlineStr">
        <is>
          <t>HSBC Global Aggregate Bond Index</t>
        </is>
      </c>
      <c r="F76" s="7" t="inlineStr">
        <is>
          <t>IE00BF5DZ473</t>
        </is>
      </c>
      <c r="G76" s="7" t="inlineStr">
        <is>
          <t>IE00BF5DZ473</t>
        </is>
      </c>
      <c r="H76" s="8" t="n">
        <v>0.15</v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>
      <c r="E77" s="7" t="inlineStr">
        <is>
          <t>Vanguard Global Bond Index EUR Hedged</t>
        </is>
      </c>
      <c r="F77" s="7" t="inlineStr">
        <is>
          <t>IE00BGCZ0B53</t>
        </is>
      </c>
      <c r="G77" s="7" t="inlineStr">
        <is>
          <t>IE00BGCZ0B53</t>
        </is>
      </c>
      <c r="H77" s="8" t="n">
        <v>0.1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</row>
    <row r="78">
      <c r="E78" s="14" t="n"/>
      <c r="F78" s="15" t="inlineStr">
        <is>
          <t>Portfolio</t>
        </is>
      </c>
      <c r="G78" s="14" t="n"/>
      <c r="H78" s="16" t="n">
        <v>1</v>
      </c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</row>
    <row r="80">
      <c r="E80" s="4" t="inlineStr">
        <is>
          <t>PTF 7: GSO Energy</t>
        </is>
      </c>
      <c r="L80" s="5" t="inlineStr">
        <is>
          <t>Burgiss: Credit / Real Asset</t>
        </is>
      </c>
    </row>
    <row r="81">
      <c r="E81" s="6" t="inlineStr">
        <is>
          <t>name</t>
        </is>
      </c>
      <c r="F81" s="6" t="inlineStr">
        <is>
          <t>JPM ID</t>
        </is>
      </c>
      <c r="G81" s="6" t="inlineStr">
        <is>
          <t>EL ID</t>
        </is>
      </c>
      <c r="H81" s="6" t="inlineStr">
        <is>
          <t>Weight</t>
        </is>
      </c>
      <c r="I81" s="6" t="inlineStr">
        <is>
          <t>Vol Pos</t>
        </is>
      </c>
      <c r="J81" s="6" t="inlineStr">
        <is>
          <t>Vol Contrib</t>
        </is>
      </c>
      <c r="K81" s="6" t="inlineStr">
        <is>
          <t>Vol Ptf</t>
        </is>
      </c>
      <c r="L81" s="6" t="inlineStr">
        <is>
          <t>ES Pos</t>
        </is>
      </c>
      <c r="M81" s="6" t="inlineStr">
        <is>
          <t>ES Contrib</t>
        </is>
      </c>
      <c r="N81" s="6" t="inlineStr">
        <is>
          <t>ES Ptf</t>
        </is>
      </c>
      <c r="O81" s="6" t="inlineStr">
        <is>
          <t>VaR Pos</t>
        </is>
      </c>
      <c r="P81" s="6" t="inlineStr">
        <is>
          <t>VaR Contrib</t>
        </is>
      </c>
      <c r="Q81" s="6" t="inlineStr">
        <is>
          <t>VaR Ptf</t>
        </is>
      </c>
      <c r="R81" s="6" t="inlineStr">
        <is>
          <t>GFC Pos</t>
        </is>
      </c>
      <c r="S81" s="6" t="inlineStr">
        <is>
          <t>GFC Ptf</t>
        </is>
      </c>
      <c r="T81" s="6" t="inlineStr">
        <is>
          <t>+100bp Pos</t>
        </is>
      </c>
      <c r="U81" s="6" t="inlineStr">
        <is>
          <t>+100bp Ptf</t>
        </is>
      </c>
    </row>
    <row r="82">
      <c r="E82" s="7" t="inlineStr">
        <is>
          <t>Microsoft Corp</t>
        </is>
      </c>
      <c r="F82" s="7" t="inlineStr">
        <is>
          <t>US5949181045</t>
        </is>
      </c>
      <c r="G82" s="7" t="inlineStr">
        <is>
          <t>US5949181045</t>
        </is>
      </c>
      <c r="H82" s="8" t="n">
        <v>0.1</v>
      </c>
      <c r="I82" s="9">
        <f t="array" ref="I82:I89">_xldudf_ELRISKMEASURE("volatility","positions",$G$82:$G$89,$H$82:$H$89,"weight","USD",252,0.95)</f>
        <v/>
      </c>
      <c r="J82" s="9">
        <f t="array" ref="J82:J89">_xldudf_ELRISKMEASURE("volatility","contributions",$G$82:$G$89,$H$82:$H$89,"weight","USD",252,0.95)</f>
        <v/>
      </c>
      <c r="K82" s="9">
        <f t="array" ref="K82:K89">_xldudf_ELRISKMEASURE("volatility","portfolio",$G$82:$G$89,$H$82:$H$89,"weight","USD",252,0.95)</f>
        <v/>
      </c>
      <c r="L82" s="9">
        <f t="array" ref="L82:L89">_xldudf_ELRISKMEASURE("es","positions",$G$82:$G$89,$H$82:$H$89,"weight","USD",252,0.95)</f>
        <v/>
      </c>
      <c r="M82" s="9">
        <f t="array" ref="M82:M89">_xldudf_ELRISKMEASURE("es","contributions",$G$82:$G$89,$H$82:$H$89,"weight","USD",252,0.95)</f>
        <v/>
      </c>
      <c r="N82" s="9">
        <f t="array" ref="N82:N89">_xldudf_ELRISKMEASURE("es","portfolio",$G$82:$G$89,$H$82:$H$89,"weight","USD",252,0.95)</f>
        <v/>
      </c>
      <c r="O82" s="9">
        <f t="array" ref="O82:O89">_xldudf_ELRISKMEASURE("var","positions",$G$82:$G$89,$H$82:$H$89,"weight","USD",252,0.95)</f>
        <v/>
      </c>
      <c r="P82" s="9">
        <f t="array" ref="P82:P89">_xldudf_ELRISKMEASURE("var","contributions",$G$82:$G$89,$H$82:$H$89,"weight","USD",252,0.95)</f>
        <v/>
      </c>
      <c r="Q82" s="9">
        <f t="array" ref="Q82:Q89">_xldudf_ELRISKMEASURE("var","portfolio",$G$82:$G$89,$H$82:$H$89,"weight","USD",252,0.95)</f>
        <v/>
      </c>
      <c r="R82" s="9">
        <f t="array" ref="R82:R89">_xldudf_ELSTRESSSCENARIO("pnl","positions",3021,$G$82:$G$89,$H$82:$H$89,"weight","USD","relative")</f>
        <v/>
      </c>
      <c r="S82" s="9">
        <f t="array" ref="S82:S89">_xldudf_ELSTRESSSCENARIO("pnl","portfolio",3021,$G$82:$G$89,$H$82:$H$89,"weight","USD","relative")</f>
        <v/>
      </c>
      <c r="T82" s="9">
        <f t="array" ref="T82:T89">_xldudf_ELSTRESSSCENARIO("pnl","positions",21148,$G$82:$G$89,$H$82:$H$89,"weight","USD","relative")</f>
        <v/>
      </c>
      <c r="U82" s="9">
        <f t="array" ref="U82:U89">_xldudf_ELSTRESSSCENARIO("pnl","portfolio",21148,$G$82:$G$89,$H$82:$H$89,"weight","USD","relative")</f>
        <v/>
      </c>
    </row>
    <row r="83">
      <c r="E83" s="7" t="inlineStr">
        <is>
          <t>JPM US Select Equity Fund</t>
        </is>
      </c>
      <c r="F83" s="7" t="inlineStr">
        <is>
          <t>LU0672672143</t>
        </is>
      </c>
      <c r="G83" s="7" t="inlineStr">
        <is>
          <t>LU0672672143</t>
        </is>
      </c>
      <c r="H83" s="8" t="n">
        <v>0.1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</row>
    <row r="84">
      <c r="E84" s="7" t="inlineStr">
        <is>
          <t>ABN Parnassus US Sustainable Equity</t>
        </is>
      </c>
      <c r="F84" s="7" t="inlineStr">
        <is>
          <t>LU1670606760</t>
        </is>
      </c>
      <c r="G84" s="7" t="inlineStr">
        <is>
          <t>LU1670606760</t>
        </is>
      </c>
      <c r="H84" s="8" t="n">
        <v>0.15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>
      <c r="E85" s="7" t="inlineStr">
        <is>
          <t>HSBC Global Aggregate Bond Index</t>
        </is>
      </c>
      <c r="F85" s="7" t="inlineStr">
        <is>
          <t>IE00BF5DZ473</t>
        </is>
      </c>
      <c r="G85" s="7" t="inlineStr">
        <is>
          <t>IE00BF5DZ473</t>
        </is>
      </c>
      <c r="H85" s="8" t="n">
        <v>0.1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</row>
    <row r="86">
      <c r="E86" s="7" t="inlineStr">
        <is>
          <t>JPM Aggregate Bond EUR Hedged</t>
        </is>
      </c>
      <c r="F86" s="7" t="inlineStr">
        <is>
          <t>LU0430493568</t>
        </is>
      </c>
      <c r="G86" s="7" t="inlineStr">
        <is>
          <t>LU0430493568</t>
        </is>
      </c>
      <c r="H86" s="8" t="n">
        <v>0.1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>
      <c r="E87" s="10" t="inlineStr">
        <is>
          <t>GSO Energy</t>
        </is>
      </c>
      <c r="F87" s="11" t="inlineStr">
        <is>
          <t>8104710100</t>
        </is>
      </c>
      <c r="G87" s="11" t="inlineStr">
        <is>
          <t>1cdf1d35-d695-406f-b0c0-2eb2f758d3b9</t>
        </is>
      </c>
      <c r="H87" s="12" t="n">
        <v>0.2</v>
      </c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</row>
    <row r="88">
      <c r="E88" s="7" t="inlineStr">
        <is>
          <t>HSBC Global Aggregate Bond Index</t>
        </is>
      </c>
      <c r="F88" s="7" t="inlineStr">
        <is>
          <t>IE00BF5DZ473</t>
        </is>
      </c>
      <c r="G88" s="7" t="inlineStr">
        <is>
          <t>IE00BF5DZ473</t>
        </is>
      </c>
      <c r="H88" s="8" t="n">
        <v>0.15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>
      <c r="E89" s="7" t="inlineStr">
        <is>
          <t>Vanguard Global Bond Index EUR Hedged</t>
        </is>
      </c>
      <c r="F89" s="7" t="inlineStr">
        <is>
          <t>IE00BGCZ0B53</t>
        </is>
      </c>
      <c r="G89" s="7" t="inlineStr">
        <is>
          <t>IE00BGCZ0B53</t>
        </is>
      </c>
      <c r="H89" s="8" t="n">
        <v>0.1</v>
      </c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</row>
    <row r="90">
      <c r="E90" s="14" t="n"/>
      <c r="F90" s="15" t="inlineStr">
        <is>
          <t>Portfolio</t>
        </is>
      </c>
      <c r="G90" s="14" t="n"/>
      <c r="H90" s="16" t="n">
        <v>1</v>
      </c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</row>
    <row r="92">
      <c r="E92" s="4" t="inlineStr">
        <is>
          <t>PTF 8: Sculptor Real Estate Fund V</t>
        </is>
      </c>
      <c r="L92" s="5" t="inlineStr">
        <is>
          <t>Burgiss: RA / Opp Value-Add</t>
        </is>
      </c>
    </row>
    <row r="93">
      <c r="E93" s="6" t="inlineStr">
        <is>
          <t>name</t>
        </is>
      </c>
      <c r="F93" s="6" t="inlineStr">
        <is>
          <t>JPM ID</t>
        </is>
      </c>
      <c r="G93" s="6" t="inlineStr">
        <is>
          <t>EL ID</t>
        </is>
      </c>
      <c r="H93" s="6" t="inlineStr">
        <is>
          <t>Weight</t>
        </is>
      </c>
      <c r="I93" s="6" t="inlineStr">
        <is>
          <t>Vol Pos</t>
        </is>
      </c>
      <c r="J93" s="6" t="inlineStr">
        <is>
          <t>Vol Contrib</t>
        </is>
      </c>
      <c r="K93" s="6" t="inlineStr">
        <is>
          <t>Vol Ptf</t>
        </is>
      </c>
      <c r="L93" s="6" t="inlineStr">
        <is>
          <t>ES Pos</t>
        </is>
      </c>
      <c r="M93" s="6" t="inlineStr">
        <is>
          <t>ES Contrib</t>
        </is>
      </c>
      <c r="N93" s="6" t="inlineStr">
        <is>
          <t>ES Ptf</t>
        </is>
      </c>
      <c r="O93" s="6" t="inlineStr">
        <is>
          <t>VaR Pos</t>
        </is>
      </c>
      <c r="P93" s="6" t="inlineStr">
        <is>
          <t>VaR Contrib</t>
        </is>
      </c>
      <c r="Q93" s="6" t="inlineStr">
        <is>
          <t>VaR Ptf</t>
        </is>
      </c>
      <c r="R93" s="6" t="inlineStr">
        <is>
          <t>GFC Pos</t>
        </is>
      </c>
      <c r="S93" s="6" t="inlineStr">
        <is>
          <t>GFC Ptf</t>
        </is>
      </c>
      <c r="T93" s="6" t="inlineStr">
        <is>
          <t>+100bp Pos</t>
        </is>
      </c>
      <c r="U93" s="6" t="inlineStr">
        <is>
          <t>+100bp Ptf</t>
        </is>
      </c>
    </row>
    <row r="94">
      <c r="E94" s="7" t="inlineStr">
        <is>
          <t>Microsoft Corp</t>
        </is>
      </c>
      <c r="F94" s="7" t="inlineStr">
        <is>
          <t>US5949181045</t>
        </is>
      </c>
      <c r="G94" s="7" t="inlineStr">
        <is>
          <t>US5949181045</t>
        </is>
      </c>
      <c r="H94" s="8" t="n">
        <v>0.1</v>
      </c>
      <c r="I94" s="9">
        <f t="array" ref="I94:I101">_xldudf_ELRISKMEASURE("volatility","positions",$G$94:$G$101,$H$94:$H$101,"weight","USD",252,0.95)</f>
        <v/>
      </c>
      <c r="J94" s="9">
        <f t="array" ref="J94:J101">_xldudf_ELRISKMEASURE("volatility","contributions",$G$94:$G$101,$H$94:$H$101,"weight","USD",252,0.95)</f>
        <v/>
      </c>
      <c r="K94" s="9">
        <f t="array" ref="K94:K101">_xldudf_ELRISKMEASURE("volatility","portfolio",$G$94:$G$101,$H$94:$H$101,"weight","USD",252,0.95)</f>
        <v/>
      </c>
      <c r="L94" s="9">
        <f t="array" ref="L94:L101">_xldudf_ELRISKMEASURE("es","positions",$G$94:$G$101,$H$94:$H$101,"weight","USD",252,0.95)</f>
        <v/>
      </c>
      <c r="M94" s="9">
        <f t="array" ref="M94:M101">_xldudf_ELRISKMEASURE("es","contributions",$G$94:$G$101,$H$94:$H$101,"weight","USD",252,0.95)</f>
        <v/>
      </c>
      <c r="N94" s="9">
        <f t="array" ref="N94:N101">_xldudf_ELRISKMEASURE("es","portfolio",$G$94:$G$101,$H$94:$H$101,"weight","USD",252,0.95)</f>
        <v/>
      </c>
      <c r="O94" s="9">
        <f t="array" ref="O94:O101">_xldudf_ELRISKMEASURE("var","positions",$G$94:$G$101,$H$94:$H$101,"weight","USD",252,0.95)</f>
        <v/>
      </c>
      <c r="P94" s="9">
        <f t="array" ref="P94:P101">_xldudf_ELRISKMEASURE("var","contributions",$G$94:$G$101,$H$94:$H$101,"weight","USD",252,0.95)</f>
        <v/>
      </c>
      <c r="Q94" s="9">
        <f t="array" ref="Q94:Q101">_xldudf_ELRISKMEASURE("var","portfolio",$G$94:$G$101,$H$94:$H$101,"weight","USD",252,0.95)</f>
        <v/>
      </c>
      <c r="R94" s="9">
        <f t="array" ref="R94:R101">_xldudf_ELSTRESSSCENARIO("pnl","positions",3021,$G$94:$G$101,$H$94:$H$101,"weight","USD","relative")</f>
        <v/>
      </c>
      <c r="S94" s="9">
        <f t="array" ref="S94:S101">_xldudf_ELSTRESSSCENARIO("pnl","portfolio",3021,$G$94:$G$101,$H$94:$H$101,"weight","USD","relative")</f>
        <v/>
      </c>
      <c r="T94" s="9">
        <f t="array" ref="T94:T101">_xldudf_ELSTRESSSCENARIO("pnl","positions",21148,$G$94:$G$101,$H$94:$H$101,"weight","USD","relative")</f>
        <v/>
      </c>
      <c r="U94" s="9">
        <f t="array" ref="U94:U101">_xldudf_ELSTRESSSCENARIO("pnl","portfolio",21148,$G$94:$G$101,$H$94:$H$101,"weight","USD","relative")</f>
        <v/>
      </c>
    </row>
    <row r="95">
      <c r="E95" s="7" t="inlineStr">
        <is>
          <t>JPM US Select Equity Fund</t>
        </is>
      </c>
      <c r="F95" s="7" t="inlineStr">
        <is>
          <t>LU0672672143</t>
        </is>
      </c>
      <c r="G95" s="7" t="inlineStr">
        <is>
          <t>LU0672672143</t>
        </is>
      </c>
      <c r="H95" s="8" t="n">
        <v>0.1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</row>
    <row r="96">
      <c r="E96" s="7" t="inlineStr">
        <is>
          <t>ABN Parnassus US Sustainable Equity</t>
        </is>
      </c>
      <c r="F96" s="7" t="inlineStr">
        <is>
          <t>LU1670606760</t>
        </is>
      </c>
      <c r="G96" s="7" t="inlineStr">
        <is>
          <t>LU1670606760</t>
        </is>
      </c>
      <c r="H96" s="8" t="n">
        <v>0.15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>
      <c r="E97" s="7" t="inlineStr">
        <is>
          <t>HSBC Global Aggregate Bond Index</t>
        </is>
      </c>
      <c r="F97" s="7" t="inlineStr">
        <is>
          <t>IE00BF5DZ473</t>
        </is>
      </c>
      <c r="G97" s="7" t="inlineStr">
        <is>
          <t>IE00BF5DZ473</t>
        </is>
      </c>
      <c r="H97" s="8" t="n">
        <v>0.1</v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</row>
    <row r="98">
      <c r="E98" s="7" t="inlineStr">
        <is>
          <t>JPM Aggregate Bond EUR Hedged</t>
        </is>
      </c>
      <c r="F98" s="7" t="inlineStr">
        <is>
          <t>LU0430493568</t>
        </is>
      </c>
      <c r="G98" s="7" t="inlineStr">
        <is>
          <t>LU0430493568</t>
        </is>
      </c>
      <c r="H98" s="8" t="n">
        <v>0.1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>
      <c r="E99" s="10" t="inlineStr">
        <is>
          <t>Sculptor Real Estate Fund V</t>
        </is>
      </c>
      <c r="F99" s="11" t="inlineStr">
        <is>
          <t>8104703100</t>
        </is>
      </c>
      <c r="G99" s="11" t="inlineStr">
        <is>
          <t>fceba1b2-f5b8-4519-9a8c-47c1ff17d731</t>
        </is>
      </c>
      <c r="H99" s="12" t="n">
        <v>0.2</v>
      </c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>
      <c r="E100" s="7" t="inlineStr">
        <is>
          <t>HSBC Global Aggregate Bond Index</t>
        </is>
      </c>
      <c r="F100" s="7" t="inlineStr">
        <is>
          <t>IE00BF5DZ473</t>
        </is>
      </c>
      <c r="G100" s="7" t="inlineStr">
        <is>
          <t>IE00BF5DZ473</t>
        </is>
      </c>
      <c r="H100" s="8" t="n">
        <v>0.15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>
      <c r="E101" s="7" t="inlineStr">
        <is>
          <t>Vanguard Global Bond Index EUR Hedged</t>
        </is>
      </c>
      <c r="F101" s="7" t="inlineStr">
        <is>
          <t>IE00BGCZ0B53</t>
        </is>
      </c>
      <c r="G101" s="7" t="inlineStr">
        <is>
          <t>IE00BGCZ0B53</t>
        </is>
      </c>
      <c r="H101" s="8" t="n">
        <v>0.1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</row>
    <row r="102">
      <c r="E102" s="14" t="n"/>
      <c r="F102" s="15" t="inlineStr">
        <is>
          <t>Portfolio</t>
        </is>
      </c>
      <c r="G102" s="14" t="n"/>
      <c r="H102" s="16" t="n">
        <v>1</v>
      </c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</row>
    <row r="104">
      <c r="E104" s="4" t="inlineStr">
        <is>
          <t>PTF 9: ASF IX</t>
        </is>
      </c>
      <c r="L104" s="5" t="inlineStr">
        <is>
          <t>Burgiss: RA / Infrastructure</t>
        </is>
      </c>
    </row>
    <row r="105">
      <c r="E105" s="6" t="inlineStr">
        <is>
          <t>name</t>
        </is>
      </c>
      <c r="F105" s="6" t="inlineStr">
        <is>
          <t>JPM ID</t>
        </is>
      </c>
      <c r="G105" s="6" t="inlineStr">
        <is>
          <t>EL ID</t>
        </is>
      </c>
      <c r="H105" s="6" t="inlineStr">
        <is>
          <t>Weight</t>
        </is>
      </c>
      <c r="I105" s="6" t="inlineStr">
        <is>
          <t>Vol Pos</t>
        </is>
      </c>
      <c r="J105" s="6" t="inlineStr">
        <is>
          <t>Vol Contrib</t>
        </is>
      </c>
      <c r="K105" s="6" t="inlineStr">
        <is>
          <t>Vol Ptf</t>
        </is>
      </c>
      <c r="L105" s="6" t="inlineStr">
        <is>
          <t>ES Pos</t>
        </is>
      </c>
      <c r="M105" s="6" t="inlineStr">
        <is>
          <t>ES Contrib</t>
        </is>
      </c>
      <c r="N105" s="6" t="inlineStr">
        <is>
          <t>ES Ptf</t>
        </is>
      </c>
      <c r="O105" s="6" t="inlineStr">
        <is>
          <t>VaR Pos</t>
        </is>
      </c>
      <c r="P105" s="6" t="inlineStr">
        <is>
          <t>VaR Contrib</t>
        </is>
      </c>
      <c r="Q105" s="6" t="inlineStr">
        <is>
          <t>VaR Ptf</t>
        </is>
      </c>
      <c r="R105" s="6" t="inlineStr">
        <is>
          <t>GFC Pos</t>
        </is>
      </c>
      <c r="S105" s="6" t="inlineStr">
        <is>
          <t>GFC Ptf</t>
        </is>
      </c>
      <c r="T105" s="6" t="inlineStr">
        <is>
          <t>+100bp Pos</t>
        </is>
      </c>
      <c r="U105" s="6" t="inlineStr">
        <is>
          <t>+100bp Ptf</t>
        </is>
      </c>
    </row>
    <row r="106">
      <c r="E106" s="7" t="inlineStr">
        <is>
          <t>Microsoft Corp</t>
        </is>
      </c>
      <c r="F106" s="7" t="inlineStr">
        <is>
          <t>US5949181045</t>
        </is>
      </c>
      <c r="G106" s="7" t="inlineStr">
        <is>
          <t>US5949181045</t>
        </is>
      </c>
      <c r="H106" s="8" t="n">
        <v>0.1</v>
      </c>
      <c r="I106" s="9">
        <f t="array" ref="I106:I113">_xldudf_ELRISKMEASURE("volatility","positions",$G$106:$G$113,$H$106:$H$113,"weight","USD",252,0.95)</f>
        <v/>
      </c>
      <c r="J106" s="9">
        <f t="array" ref="J106:J113">_xldudf_ELRISKMEASURE("volatility","contributions",$G$106:$G$113,$H$106:$H$113,"weight","USD",252,0.95)</f>
        <v/>
      </c>
      <c r="K106" s="9">
        <f t="array" ref="K106:K113">_xldudf_ELRISKMEASURE("volatility","portfolio",$G$106:$G$113,$H$106:$H$113,"weight","USD",252,0.95)</f>
        <v/>
      </c>
      <c r="L106" s="9">
        <f t="array" ref="L106:L113">_xldudf_ELRISKMEASURE("es","positions",$G$106:$G$113,$H$106:$H$113,"weight","USD",252,0.95)</f>
        <v/>
      </c>
      <c r="M106" s="9">
        <f t="array" ref="M106:M113">_xldudf_ELRISKMEASURE("es","contributions",$G$106:$G$113,$H$106:$H$113,"weight","USD",252,0.95)</f>
        <v/>
      </c>
      <c r="N106" s="9">
        <f t="array" ref="N106:N113">_xldudf_ELRISKMEASURE("es","portfolio",$G$106:$G$113,$H$106:$H$113,"weight","USD",252,0.95)</f>
        <v/>
      </c>
      <c r="O106" s="9">
        <f t="array" ref="O106:O113">_xldudf_ELRISKMEASURE("var","positions",$G$106:$G$113,$H$106:$H$113,"weight","USD",252,0.95)</f>
        <v/>
      </c>
      <c r="P106" s="9">
        <f t="array" ref="P106:P113">_xldudf_ELRISKMEASURE("var","contributions",$G$106:$G$113,$H$106:$H$113,"weight","USD",252,0.95)</f>
        <v/>
      </c>
      <c r="Q106" s="9">
        <f t="array" ref="Q106:Q113">_xldudf_ELRISKMEASURE("var","portfolio",$G$106:$G$113,$H$106:$H$113,"weight","USD",252,0.95)</f>
        <v/>
      </c>
      <c r="R106" s="9">
        <f t="array" ref="R106:R113">_xldudf_ELSTRESSSCENARIO("pnl","positions",3021,$G$106:$G$113,$H$106:$H$113,"weight","USD","relative")</f>
        <v/>
      </c>
      <c r="S106" s="9">
        <f t="array" ref="S106:S113">_xldudf_ELSTRESSSCENARIO("pnl","portfolio",3021,$G$106:$G$113,$H$106:$H$113,"weight","USD","relative")</f>
        <v/>
      </c>
      <c r="T106" s="9">
        <f t="array" ref="T106:T113">_xldudf_ELSTRESSSCENARIO("pnl","positions",21148,$G$106:$G$113,$H$106:$H$113,"weight","USD","relative")</f>
        <v/>
      </c>
      <c r="U106" s="9">
        <f t="array" ref="U106:U113">_xldudf_ELSTRESSSCENARIO("pnl","portfolio",21148,$G$106:$G$113,$H$106:$H$113,"weight","USD","relative")</f>
        <v/>
      </c>
    </row>
    <row r="107">
      <c r="E107" s="7" t="inlineStr">
        <is>
          <t>JPM US Select Equity Fund</t>
        </is>
      </c>
      <c r="F107" s="7" t="inlineStr">
        <is>
          <t>LU0672672143</t>
        </is>
      </c>
      <c r="G107" s="7" t="inlineStr">
        <is>
          <t>LU0672672143</t>
        </is>
      </c>
      <c r="H107" s="8" t="n">
        <v>0.1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</row>
    <row r="108">
      <c r="E108" s="7" t="inlineStr">
        <is>
          <t>ABN Parnassus US Sustainable Equity</t>
        </is>
      </c>
      <c r="F108" s="7" t="inlineStr">
        <is>
          <t>LU1670606760</t>
        </is>
      </c>
      <c r="G108" s="7" t="inlineStr">
        <is>
          <t>LU1670606760</t>
        </is>
      </c>
      <c r="H108" s="8" t="n">
        <v>0.15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>
      <c r="E109" s="7" t="inlineStr">
        <is>
          <t>HSBC Global Aggregate Bond Index</t>
        </is>
      </c>
      <c r="F109" s="7" t="inlineStr">
        <is>
          <t>IE00BF5DZ473</t>
        </is>
      </c>
      <c r="G109" s="7" t="inlineStr">
        <is>
          <t>IE00BF5DZ473</t>
        </is>
      </c>
      <c r="H109" s="8" t="n">
        <v>0.1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</row>
    <row r="110">
      <c r="E110" s="7" t="inlineStr">
        <is>
          <t>JPM Aggregate Bond EUR Hedged</t>
        </is>
      </c>
      <c r="F110" s="7" t="inlineStr">
        <is>
          <t>LU0430493568</t>
        </is>
      </c>
      <c r="G110" s="7" t="inlineStr">
        <is>
          <t>LU0430493568</t>
        </is>
      </c>
      <c r="H110" s="8" t="n">
        <v>0.1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>
      <c r="E111" s="10" t="inlineStr">
        <is>
          <t>ASF IX</t>
        </is>
      </c>
      <c r="F111" s="11" t="inlineStr">
        <is>
          <t>8104718100</t>
        </is>
      </c>
      <c r="G111" s="11" t="inlineStr">
        <is>
          <t>1c01ebe7-7982-4c9f-b175-bce1123753e4</t>
        </is>
      </c>
      <c r="H111" s="12" t="n">
        <v>0.2</v>
      </c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</row>
    <row r="112">
      <c r="E112" s="7" t="inlineStr">
        <is>
          <t>HSBC Global Aggregate Bond Index</t>
        </is>
      </c>
      <c r="F112" s="7" t="inlineStr">
        <is>
          <t>IE00BF5DZ473</t>
        </is>
      </c>
      <c r="G112" s="7" t="inlineStr">
        <is>
          <t>IE00BF5DZ473</t>
        </is>
      </c>
      <c r="H112" s="8" t="n">
        <v>0.15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>
      <c r="E113" s="7" t="inlineStr">
        <is>
          <t>Vanguard Global Bond Index EUR Hedged</t>
        </is>
      </c>
      <c r="F113" s="7" t="inlineStr">
        <is>
          <t>IE00BGCZ0B53</t>
        </is>
      </c>
      <c r="G113" s="7" t="inlineStr">
        <is>
          <t>IE00BGCZ0B53</t>
        </is>
      </c>
      <c r="H113" s="8" t="n">
        <v>0.1</v>
      </c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</row>
    <row r="114">
      <c r="E114" s="14" t="n"/>
      <c r="F114" s="15" t="inlineStr">
        <is>
          <t>Portfolio</t>
        </is>
      </c>
      <c r="G114" s="14" t="n"/>
      <c r="H114" s="16" t="n">
        <v>1</v>
      </c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</row>
    <row r="116">
      <c r="E116" s="4" t="inlineStr">
        <is>
          <t>PTF 10: Water Property Investor II</t>
        </is>
      </c>
      <c r="L116" s="5" t="inlineStr">
        <is>
          <t>Burgiss: RA / Timber</t>
        </is>
      </c>
    </row>
    <row r="117">
      <c r="E117" s="6" t="inlineStr">
        <is>
          <t>name</t>
        </is>
      </c>
      <c r="F117" s="6" t="inlineStr">
        <is>
          <t>JPM ID</t>
        </is>
      </c>
      <c r="G117" s="6" t="inlineStr">
        <is>
          <t>EL ID</t>
        </is>
      </c>
      <c r="H117" s="6" t="inlineStr">
        <is>
          <t>Weight</t>
        </is>
      </c>
      <c r="I117" s="6" t="inlineStr">
        <is>
          <t>Vol Pos</t>
        </is>
      </c>
      <c r="J117" s="6" t="inlineStr">
        <is>
          <t>Vol Contrib</t>
        </is>
      </c>
      <c r="K117" s="6" t="inlineStr">
        <is>
          <t>Vol Ptf</t>
        </is>
      </c>
      <c r="L117" s="6" t="inlineStr">
        <is>
          <t>ES Pos</t>
        </is>
      </c>
      <c r="M117" s="6" t="inlineStr">
        <is>
          <t>ES Contrib</t>
        </is>
      </c>
      <c r="N117" s="6" t="inlineStr">
        <is>
          <t>ES Ptf</t>
        </is>
      </c>
      <c r="O117" s="6" t="inlineStr">
        <is>
          <t>VaR Pos</t>
        </is>
      </c>
      <c r="P117" s="6" t="inlineStr">
        <is>
          <t>VaR Contrib</t>
        </is>
      </c>
      <c r="Q117" s="6" t="inlineStr">
        <is>
          <t>VaR Ptf</t>
        </is>
      </c>
      <c r="R117" s="6" t="inlineStr">
        <is>
          <t>GFC Pos</t>
        </is>
      </c>
      <c r="S117" s="6" t="inlineStr">
        <is>
          <t>GFC Ptf</t>
        </is>
      </c>
      <c r="T117" s="6" t="inlineStr">
        <is>
          <t>+100bp Pos</t>
        </is>
      </c>
      <c r="U117" s="6" t="inlineStr">
        <is>
          <t>+100bp Ptf</t>
        </is>
      </c>
    </row>
    <row r="118">
      <c r="E118" s="7" t="inlineStr">
        <is>
          <t>Microsoft Corp</t>
        </is>
      </c>
      <c r="F118" s="7" t="inlineStr">
        <is>
          <t>US5949181045</t>
        </is>
      </c>
      <c r="G118" s="7" t="inlineStr">
        <is>
          <t>US5949181045</t>
        </is>
      </c>
      <c r="H118" s="8" t="n">
        <v>0.1</v>
      </c>
      <c r="I118" s="9">
        <f t="array" ref="I118:I125">_xldudf_ELRISKMEASURE("volatility","positions",$G$118:$G$125,$H$118:$H$125,"weight","USD",252,0.95)</f>
        <v/>
      </c>
      <c r="J118" s="9">
        <f t="array" ref="J118:J125">_xldudf_ELRISKMEASURE("volatility","contributions",$G$118:$G$125,$H$118:$H$125,"weight","USD",252,0.95)</f>
        <v/>
      </c>
      <c r="K118" s="9">
        <f t="array" ref="K118:K125">_xldudf_ELRISKMEASURE("volatility","portfolio",$G$118:$G$125,$H$118:$H$125,"weight","USD",252,0.95)</f>
        <v/>
      </c>
      <c r="L118" s="9">
        <f t="array" ref="L118:L125">_xldudf_ELRISKMEASURE("es","positions",$G$118:$G$125,$H$118:$H$125,"weight","USD",252,0.95)</f>
        <v/>
      </c>
      <c r="M118" s="9">
        <f t="array" ref="M118:M125">_xldudf_ELRISKMEASURE("es","contributions",$G$118:$G$125,$H$118:$H$125,"weight","USD",252,0.95)</f>
        <v/>
      </c>
      <c r="N118" s="9">
        <f t="array" ref="N118:N125">_xldudf_ELRISKMEASURE("es","portfolio",$G$118:$G$125,$H$118:$H$125,"weight","USD",252,0.95)</f>
        <v/>
      </c>
      <c r="O118" s="9">
        <f t="array" ref="O118:O125">_xldudf_ELRISKMEASURE("var","positions",$G$118:$G$125,$H$118:$H$125,"weight","USD",252,0.95)</f>
        <v/>
      </c>
      <c r="P118" s="9">
        <f t="array" ref="P118:P125">_xldudf_ELRISKMEASURE("var","contributions",$G$118:$G$125,$H$118:$H$125,"weight","USD",252,0.95)</f>
        <v/>
      </c>
      <c r="Q118" s="9">
        <f t="array" ref="Q118:Q125">_xldudf_ELRISKMEASURE("var","portfolio",$G$118:$G$125,$H$118:$H$125,"weight","USD",252,0.95)</f>
        <v/>
      </c>
      <c r="R118" s="9">
        <f t="array" ref="R118:R125">_xldudf_ELSTRESSSCENARIO("pnl","positions",3021,$G$118:$G$125,$H$118:$H$125,"weight","USD","relative")</f>
        <v/>
      </c>
      <c r="S118" s="9">
        <f t="array" ref="S118:S125">_xldudf_ELSTRESSSCENARIO("pnl","portfolio",3021,$G$118:$G$125,$H$118:$H$125,"weight","USD","relative")</f>
        <v/>
      </c>
      <c r="T118" s="9">
        <f t="array" ref="T118:T125">_xldudf_ELSTRESSSCENARIO("pnl","positions",21148,$G$118:$G$125,$H$118:$H$125,"weight","USD","relative")</f>
        <v/>
      </c>
      <c r="U118" s="9">
        <f t="array" ref="U118:U125">_xldudf_ELSTRESSSCENARIO("pnl","portfolio",21148,$G$118:$G$125,$H$118:$H$125,"weight","USD","relative")</f>
        <v/>
      </c>
    </row>
    <row r="119">
      <c r="E119" s="7" t="inlineStr">
        <is>
          <t>JPM US Select Equity Fund</t>
        </is>
      </c>
      <c r="F119" s="7" t="inlineStr">
        <is>
          <t>LU0672672143</t>
        </is>
      </c>
      <c r="G119" s="7" t="inlineStr">
        <is>
          <t>LU0672672143</t>
        </is>
      </c>
      <c r="H119" s="8" t="n">
        <v>0.1</v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</row>
    <row r="120">
      <c r="E120" s="7" t="inlineStr">
        <is>
          <t>ABN Parnassus US Sustainable Equity</t>
        </is>
      </c>
      <c r="F120" s="7" t="inlineStr">
        <is>
          <t>LU1670606760</t>
        </is>
      </c>
      <c r="G120" s="7" t="inlineStr">
        <is>
          <t>LU1670606760</t>
        </is>
      </c>
      <c r="H120" s="8" t="n">
        <v>0.15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>
      <c r="E121" s="7" t="inlineStr">
        <is>
          <t>HSBC Global Aggregate Bond Index</t>
        </is>
      </c>
      <c r="F121" s="7" t="inlineStr">
        <is>
          <t>IE00BF5DZ473</t>
        </is>
      </c>
      <c r="G121" s="7" t="inlineStr">
        <is>
          <t>IE00BF5DZ473</t>
        </is>
      </c>
      <c r="H121" s="8" t="n">
        <v>0.1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</row>
    <row r="122">
      <c r="E122" s="7" t="inlineStr">
        <is>
          <t>JPM Aggregate Bond EUR Hedged</t>
        </is>
      </c>
      <c r="F122" s="7" t="inlineStr">
        <is>
          <t>LU0430493568</t>
        </is>
      </c>
      <c r="G122" s="7" t="inlineStr">
        <is>
          <t>LU0430493568</t>
        </is>
      </c>
      <c r="H122" s="8" t="n">
        <v>0.1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>
      <c r="E123" s="10" t="inlineStr">
        <is>
          <t>Water Property Investor II</t>
        </is>
      </c>
      <c r="F123" s="11" t="inlineStr">
        <is>
          <t>9006185000</t>
        </is>
      </c>
      <c r="G123" s="11" t="inlineStr">
        <is>
          <t>42235c4d-8b0c-456d-94d8-1ca66310ae7f</t>
        </is>
      </c>
      <c r="H123" s="12" t="n">
        <v>0.2</v>
      </c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</row>
    <row r="124">
      <c r="E124" s="7" t="inlineStr">
        <is>
          <t>HSBC Global Aggregate Bond Index</t>
        </is>
      </c>
      <c r="F124" s="7" t="inlineStr">
        <is>
          <t>IE00BF5DZ473</t>
        </is>
      </c>
      <c r="G124" s="7" t="inlineStr">
        <is>
          <t>IE00BF5DZ473</t>
        </is>
      </c>
      <c r="H124" s="8" t="n">
        <v>0.15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>
      <c r="E125" s="7" t="inlineStr">
        <is>
          <t>Vanguard Global Bond Index EUR Hedged</t>
        </is>
      </c>
      <c r="F125" s="7" t="inlineStr">
        <is>
          <t>IE00BGCZ0B53</t>
        </is>
      </c>
      <c r="G125" s="7" t="inlineStr">
        <is>
          <t>IE00BGCZ0B53</t>
        </is>
      </c>
      <c r="H125" s="8" t="n">
        <v>0.1</v>
      </c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</row>
    <row r="126">
      <c r="E126" s="14" t="n"/>
      <c r="F126" s="15" t="inlineStr">
        <is>
          <t>Portfolio</t>
        </is>
      </c>
      <c r="G126" s="14" t="n"/>
      <c r="H126" s="16" t="n">
        <v>1</v>
      </c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5" customWidth="1" min="4" max="4"/>
    <col width="38" customWidth="1" min="5" max="5"/>
  </cols>
  <sheetData>
    <row r="1">
      <c r="A1" s="17" t="inlineStr">
        <is>
          <t>Fund Name</t>
        </is>
      </c>
      <c r="B1" s="17" t="inlineStr">
        <is>
          <t>Asset Class L3</t>
        </is>
      </c>
      <c r="C1" s="17" t="inlineStr">
        <is>
          <t>Strategy</t>
        </is>
      </c>
      <c r="D1" s="17" t="inlineStr">
        <is>
          <t>Burgiss Index</t>
        </is>
      </c>
      <c r="E1" s="17" t="inlineStr">
        <is>
          <t>EL ID</t>
        </is>
      </c>
    </row>
    <row r="2">
      <c r="A2" s="2" t="inlineStr">
        <is>
          <t>KKR North America XIV</t>
        </is>
      </c>
      <c r="B2" s="2" t="inlineStr">
        <is>
          <t>Core PE</t>
        </is>
      </c>
      <c r="C2" s="2" t="inlineStr">
        <is>
          <t>Large Cap</t>
        </is>
      </c>
      <c r="D2" s="2" t="inlineStr">
        <is>
          <t>Eq Buyout Expansion USD</t>
        </is>
      </c>
      <c r="E2" s="18" t="inlineStr">
        <is>
          <t>dcd91934-5641-46c7-b54b-ec42bc6b21ad</t>
        </is>
      </c>
    </row>
    <row r="3">
      <c r="A3" s="2" t="inlineStr">
        <is>
          <t>Riverstone IV</t>
        </is>
      </c>
      <c r="B3" s="2" t="inlineStr">
        <is>
          <t>Core PE</t>
        </is>
      </c>
      <c r="C3" s="2" t="inlineStr">
        <is>
          <t>Energy</t>
        </is>
      </c>
      <c r="D3" s="2" t="inlineStr">
        <is>
          <t>Eq Buyout Expansion USD</t>
        </is>
      </c>
      <c r="E3" s="18" t="inlineStr">
        <is>
          <t>dcd91934-5641-46c7-b54b-ec42bc6b21ad</t>
        </is>
      </c>
    </row>
    <row r="4">
      <c r="A4" s="2" t="inlineStr">
        <is>
          <t>Learn Capital IV</t>
        </is>
      </c>
      <c r="B4" s="2" t="inlineStr">
        <is>
          <t>Growth/VC</t>
        </is>
      </c>
      <c r="C4" s="2" t="inlineStr">
        <is>
          <t>Venture</t>
        </is>
      </c>
      <c r="D4" s="2" t="inlineStr">
        <is>
          <t>Venture Capital USD</t>
        </is>
      </c>
      <c r="E4" s="18" t="inlineStr">
        <is>
          <t>335daaa5-bb86-4464-9643-b4ec39703699</t>
        </is>
      </c>
    </row>
    <row r="5">
      <c r="A5" s="2" t="inlineStr">
        <is>
          <t>DFJ Growth IV</t>
        </is>
      </c>
      <c r="B5" s="2" t="inlineStr">
        <is>
          <t>Growth/VC</t>
        </is>
      </c>
      <c r="C5" s="2" t="inlineStr">
        <is>
          <t>Growth</t>
        </is>
      </c>
      <c r="D5" s="2" t="inlineStr">
        <is>
          <t>Venture Capital USD</t>
        </is>
      </c>
      <c r="E5" s="18" t="inlineStr">
        <is>
          <t>335daaa5-bb86-4464-9643-b4ec39703699</t>
        </is>
      </c>
    </row>
    <row r="6">
      <c r="A6" s="2" t="inlineStr">
        <is>
          <t>HPS Core Senior Lending II</t>
        </is>
      </c>
      <c r="B6" s="2" t="inlineStr">
        <is>
          <t>Private Credit</t>
        </is>
      </c>
      <c r="C6" s="2" t="inlineStr">
        <is>
          <t>Direct Lending</t>
        </is>
      </c>
      <c r="D6" s="2" t="inlineStr">
        <is>
          <t>Debt-Senior-USD</t>
        </is>
      </c>
      <c r="E6" s="18" t="inlineStr">
        <is>
          <t>1cdf1d35-d695-406f-b0c0-2eb2f758d3b9</t>
        </is>
      </c>
    </row>
    <row r="7">
      <c r="A7" s="2" t="inlineStr">
        <is>
          <t>Apollo EPF IV</t>
        </is>
      </c>
      <c r="B7" s="2" t="inlineStr">
        <is>
          <t>Private Credit</t>
        </is>
      </c>
      <c r="C7" s="2" t="inlineStr">
        <is>
          <t>Distressed</t>
        </is>
      </c>
      <c r="D7" s="2" t="inlineStr">
        <is>
          <t>Debt-Senior-USD</t>
        </is>
      </c>
      <c r="E7" s="18" t="inlineStr">
        <is>
          <t>1cdf1d35-d695-406f-b0c0-2eb2f758d3b9</t>
        </is>
      </c>
    </row>
    <row r="8">
      <c r="A8" s="2" t="inlineStr">
        <is>
          <t>GSO Energy</t>
        </is>
      </c>
      <c r="B8" s="2" t="inlineStr">
        <is>
          <t>Private Credit</t>
        </is>
      </c>
      <c r="C8" s="2" t="inlineStr">
        <is>
          <t>Real Asset Credit</t>
        </is>
      </c>
      <c r="D8" s="2" t="inlineStr">
        <is>
          <t>Debt-Senior-USD</t>
        </is>
      </c>
      <c r="E8" s="18" t="inlineStr">
        <is>
          <t>1cdf1d35-d695-406f-b0c0-2eb2f758d3b9</t>
        </is>
      </c>
    </row>
    <row r="9">
      <c r="A9" s="2" t="inlineStr">
        <is>
          <t>Sculptor Real Estate Fund V</t>
        </is>
      </c>
      <c r="B9" s="2" t="inlineStr">
        <is>
          <t>Real Assets</t>
        </is>
      </c>
      <c r="C9" s="2" t="inlineStr">
        <is>
          <t>Opp/Value-Add</t>
        </is>
      </c>
      <c r="D9" s="2" t="inlineStr">
        <is>
          <t>RE Value-Added USA USD</t>
        </is>
      </c>
      <c r="E9" s="18" t="inlineStr">
        <is>
          <t>fceba1b2-f5b8-4519-9a8c-47c1ff17d731</t>
        </is>
      </c>
    </row>
    <row r="10">
      <c r="A10" s="2" t="inlineStr">
        <is>
          <t>ASF IX</t>
        </is>
      </c>
      <c r="B10" s="2" t="inlineStr">
        <is>
          <t>Real Assets</t>
        </is>
      </c>
      <c r="C10" s="2" t="inlineStr">
        <is>
          <t>Infrastructure</t>
        </is>
      </c>
      <c r="D10" s="2" t="inlineStr">
        <is>
          <t>Infrastructure USD</t>
        </is>
      </c>
      <c r="E10" s="18" t="inlineStr">
        <is>
          <t>1c01ebe7-7982-4c9f-b175-bce1123753e4</t>
        </is>
      </c>
    </row>
    <row r="11">
      <c r="A11" s="2" t="inlineStr">
        <is>
          <t>Water Property Investor II</t>
        </is>
      </c>
      <c r="B11" s="2" t="inlineStr">
        <is>
          <t>Real Assets</t>
        </is>
      </c>
      <c r="C11" s="2" t="inlineStr">
        <is>
          <t>Timber</t>
        </is>
      </c>
      <c r="D11" s="2" t="inlineStr">
        <is>
          <t>Timber USD</t>
        </is>
      </c>
      <c r="E11" s="18" t="inlineStr">
        <is>
          <t>42235c4d-8b0c-456d-94d8-1ca66310ae7f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2026-06-16T07:28:25Z</dcterms:created>
  <dcterms:modified xmlns:dcterms="http://purl.org/dc/terms/" xmlns:xsi="http://www.w3.org/2001/XMLSchema-instance" xsi:type="dcterms:W3CDTF">2026-06-16T07:28:25Z</dcterms:modified>
</cp:coreProperties>
</file>